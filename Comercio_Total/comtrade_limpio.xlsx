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1fc06d8ee3f619/PIAV/Comercio_Total/"/>
    </mc:Choice>
  </mc:AlternateContent>
  <xr:revisionPtr revIDLastSave="6" documentId="13_ncr:1_{038EE0F2-9C99-403C-B034-6200CCC7679E}" xr6:coauthVersionLast="47" xr6:coauthVersionMax="47" xr10:uidLastSave="{E7905180-67D6-4F63-ADC6-0B343F6698F3}"/>
  <bookViews>
    <workbookView xWindow="-108" yWindow="-108" windowWidth="23256" windowHeight="12456" activeTab="5" xr2:uid="{00000000-000D-0000-FFFF-FFFF00000000}"/>
  </bookViews>
  <sheets>
    <sheet name="Deflactados" sheetId="6" r:id="rId1"/>
    <sheet name="IPC" sheetId="5" r:id="rId2"/>
    <sheet name="Expor limpio" sheetId="3" r:id="rId3"/>
    <sheet name="Import limpio" sheetId="4" r:id="rId4"/>
    <sheet name="Importaciones" sheetId="1" r:id="rId5"/>
    <sheet name="Exportacion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F4" i="6"/>
  <c r="G4" i="6"/>
  <c r="H4" i="6"/>
  <c r="F5" i="6"/>
  <c r="G5" i="6"/>
  <c r="H5" i="6"/>
  <c r="F6" i="6"/>
  <c r="G6" i="6"/>
  <c r="H6" i="6"/>
  <c r="F7" i="6"/>
  <c r="G7" i="6"/>
  <c r="H7" i="6"/>
  <c r="F8" i="6"/>
  <c r="G8" i="6"/>
  <c r="H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H3" i="6"/>
  <c r="G3" i="6"/>
  <c r="F3" i="6"/>
  <c r="C4" i="6" l="1"/>
  <c r="D4" i="6"/>
  <c r="E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D3" i="6"/>
  <c r="C3" i="6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B11" i="1"/>
  <c r="B12" i="1"/>
  <c r="B10" i="1"/>
</calcChain>
</file>

<file path=xl/sharedStrings.xml><?xml version="1.0" encoding="utf-8"?>
<sst xmlns="http://schemas.openxmlformats.org/spreadsheetml/2006/main" count="287" uniqueCount="43">
  <si>
    <t>Importaciones — Capítulos 01–15 SA | México, EE.UU., Canadá (USD)</t>
  </si>
  <si>
    <t>Fuente: UN Comtrade | Capítulos 01–15 SA | Suma anual por país | 1994–2024</t>
  </si>
  <si>
    <t>País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</si>
  <si>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</si>
  <si>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</si>
  <si>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</si>
  <si>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</si>
  <si>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</si>
  <si>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</si>
  <si>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</si>
  <si>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</si>
  <si>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</si>
  <si>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</si>
  <si>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</si>
  <si>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</si>
  <si>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</si>
  <si>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</si>
  <si>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</si>
  <si>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</si>
  <si>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</si>
  <si>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</si>
  <si>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</si>
  <si>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</si>
  <si>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</si>
  <si>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</si>
  <si>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</si>
  <si>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</si>
  <si>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</si>
  <si>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</si>
  <si>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</si>
  <si>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</si>
  <si>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</si>
  <si>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</si>
  <si>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</si>
  <si>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Canada</t>
  </si>
  <si>
    <t>Mexico</t>
  </si>
  <si>
    <t>USA</t>
  </si>
  <si>
    <t>Exportaciones — Capítulos 01–15 SA | México, EE.UU., Canadá (USD)</t>
  </si>
  <si>
    <t>Fuente: UN Comtrade | Capítulos 01–14 SA | Suma anual por país | 1994–2024</t>
  </si>
  <si>
    <t>En miles de USD</t>
  </si>
  <si>
    <t>IPC Base 2018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</si>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</sst>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i/>
      <sz val="8"/>
      <color rgb="FF595959"/>
      <name val="Arial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7DC2-E6CD-4725-A59C-DF0E3B7F629A}">
  <dimension ref="B1:H33"/>
  <sheetViews>
    <sheetView workbookViewId="0">
      <selection activeCell="M9" sqref="M9"/>
    </sheetView>
  </sheetViews>
  <sheetFormatPr baseColWidth="10" defaultRowHeight="14.4" x14ac:dyDescent="0.3"/>
  <cols>
    <col min="3" max="3" width="17.44140625" customWidth="1"/>
    <col min="5" max="5" width="20.21875" customWidth="1"/>
  </cols>
  <sheetData>
    <row r="1" spans="2:8" x14ac:dyDescent="0.3">
      <c r="C1" s="7" t="s">
        <v>41</v>
      </c>
      <c r="D1" s="7"/>
      <c r="E1" s="7"/>
      <c r="F1" s="7" t="s">
        <v>42</v>
      </c>
      <c r="G1" s="7"/>
      <c r="H1" s="7"/>
    </row>
    <row r="2" spans="2:8" x14ac:dyDescent="0.3">
      <c r="C2" t="s">
        <v>34</v>
      </c>
      <c r="D2" t="s">
        <v>35</v>
      </c>
      <c r="E2" t="s">
        <v>36</v>
      </c>
      <c r="F2" t="s">
        <v>34</v>
      </c>
      <c r="G2" t="s">
        <v>35</v>
      </c>
      <c r="H2" t="s">
        <v>36</v>
      </c>
    </row>
    <row r="3" spans="2:8" x14ac:dyDescent="0.3">
      <c r="B3" t="s">
        <v>3</v>
      </c>
      <c r="C3">
        <f>('Expor limpio'!C3/IPC!C3)*100</f>
        <v>16668360.456287712</v>
      </c>
      <c r="D3">
        <f>('Expor limpio'!D3/IPC!C3)*100</f>
        <v>5560084.6165346224</v>
      </c>
      <c r="E3">
        <f>('Expor limpio'!E3/IPC!C3)*100</f>
        <v>53480896.4925033</v>
      </c>
      <c r="F3">
        <f>('Import limpio'!C3/IPC!C3)*100</f>
        <v>8322783.7666004924</v>
      </c>
      <c r="G3">
        <f>('Import limpio'!D3/IPC!C3)*100</f>
        <v>7700594.3883361937</v>
      </c>
      <c r="H3">
        <f>('Import limpio'!E3/IPC!C3)*100</f>
        <v>36506584.436107919</v>
      </c>
    </row>
    <row r="4" spans="2:8" x14ac:dyDescent="0.3">
      <c r="B4" t="s">
        <v>4</v>
      </c>
      <c r="C4">
        <f>('Expor limpio'!C4/IPC!C4)*100</f>
        <v>18474071.272208273</v>
      </c>
      <c r="D4">
        <f>('Expor limpio'!D4/IPC!C4)*100</f>
        <v>7756393.7302408926</v>
      </c>
      <c r="E4">
        <f>('Expor limpio'!E4/IPC!C4)*100</f>
        <v>65106495.246446647</v>
      </c>
      <c r="F4">
        <f>('Import limpio'!C4/IPC!C4)*100</f>
        <v>8661011.4381269757</v>
      </c>
      <c r="G4">
        <f>('Import limpio'!D4/IPC!C4)*100</f>
        <v>5365186.0779218376</v>
      </c>
      <c r="H4">
        <f>('Import limpio'!E4/IPC!C4)*100</f>
        <v>38307987.817318954</v>
      </c>
    </row>
    <row r="5" spans="2:8" x14ac:dyDescent="0.3">
      <c r="B5" t="s">
        <v>5</v>
      </c>
      <c r="C5">
        <f>('Expor limpio'!C5/IPC!C5)*100</f>
        <v>19863175.207161441</v>
      </c>
      <c r="D5">
        <f>('Expor limpio'!D5/IPC!C5)*100</f>
        <v>6894288.5591219179</v>
      </c>
      <c r="E5">
        <f>('Expor limpio'!E5/IPC!C5)*100</f>
        <v>69908775.655783996</v>
      </c>
      <c r="F5">
        <f>('Import limpio'!C5/IPC!C5)*100</f>
        <v>8701443.3142927662</v>
      </c>
      <c r="G5">
        <f>('Import limpio'!D5/IPC!C5)*100</f>
        <v>8626311.7269932702</v>
      </c>
      <c r="H5">
        <f>('Import limpio'!E5/IPC!C5)*100</f>
        <v>38089135.651890673</v>
      </c>
    </row>
    <row r="6" spans="2:8" x14ac:dyDescent="0.3">
      <c r="B6" t="s">
        <v>6</v>
      </c>
      <c r="C6">
        <f>('Expor limpio'!C6/IPC!C6)*100</f>
        <v>20969270.217332371</v>
      </c>
      <c r="D6">
        <f>('Expor limpio'!D6/IPC!C6)*100</f>
        <v>7407304.7655855073</v>
      </c>
      <c r="E6">
        <f>('Expor limpio'!E6/IPC!C6)*100</f>
        <v>59927725.596080765</v>
      </c>
      <c r="F6">
        <f>('Import limpio'!C6/IPC!C6)*100</f>
        <v>9203661.5294166915</v>
      </c>
      <c r="G6">
        <f>('Import limpio'!D6/IPC!C6)*100</f>
        <v>8182406.6616031397</v>
      </c>
      <c r="H6">
        <f>('Import limpio'!E6/IPC!C6)*100</f>
        <v>42279278.776626118</v>
      </c>
    </row>
    <row r="7" spans="2:8" x14ac:dyDescent="0.3">
      <c r="B7" t="s">
        <v>7</v>
      </c>
      <c r="C7">
        <f>('Expor limpio'!C7/IPC!C7)*100</f>
        <v>18740029.520622265</v>
      </c>
      <c r="D7">
        <f>('Expor limpio'!D7/IPC!C7)*100</f>
        <v>7605211.6817238042</v>
      </c>
      <c r="E7">
        <f>('Expor limpio'!E7/IPC!C7)*100</f>
        <v>51598790.870857783</v>
      </c>
      <c r="F7">
        <f>('Import limpio'!C7/IPC!C7)*100</f>
        <v>9212096.39720135</v>
      </c>
      <c r="G7">
        <f>('Import limpio'!D7/IPC!C7)*100</f>
        <v>8520432.4795747548</v>
      </c>
      <c r="H7">
        <f>('Import limpio'!E7/IPC!C7)*100</f>
        <v>43263260.513113692</v>
      </c>
    </row>
    <row r="8" spans="2:8" x14ac:dyDescent="0.3">
      <c r="B8" t="s">
        <v>8</v>
      </c>
      <c r="C8">
        <f>('Expor limpio'!C8/IPC!C8)*100</f>
        <v>17733181.042604078</v>
      </c>
      <c r="D8">
        <f>('Expor limpio'!D8/IPC!C8)*100</f>
        <v>7387864.5055061225</v>
      </c>
      <c r="E8">
        <f>('Expor limpio'!E8/IPC!C8)*100</f>
        <v>50390354.570112146</v>
      </c>
      <c r="F8">
        <f>('Import limpio'!C8/IPC!C8)*100</f>
        <v>9338214.3515478577</v>
      </c>
      <c r="G8">
        <f>('Import limpio'!D8/IPC!C8)*100</f>
        <v>8460450.2464004084</v>
      </c>
      <c r="H8">
        <f>('Import limpio'!E8/IPC!C8)*100</f>
        <v>43825821.013538055</v>
      </c>
    </row>
    <row r="9" spans="2:8" x14ac:dyDescent="0.3">
      <c r="B9" t="s">
        <v>9</v>
      </c>
      <c r="C9">
        <f>('Expor limpio'!C9/IPC!C9)*100</f>
        <v>18602412.290291201</v>
      </c>
      <c r="D9">
        <f>('Expor limpio'!D9/IPC!C9)*100</f>
        <v>7668351.3266780898</v>
      </c>
      <c r="E9">
        <f>('Expor limpio'!E9/IPC!C9)*100</f>
        <v>51546813.302400671</v>
      </c>
      <c r="F9">
        <f>('Import limpio'!C9/IPC!C9)*100</f>
        <v>9591891.2050669454</v>
      </c>
      <c r="G9">
        <f>('Import limpio'!D9/IPC!C9)*100</f>
        <v>9289949.1138495877</v>
      </c>
      <c r="H9">
        <f>('Import limpio'!E9/IPC!C9)*100</f>
        <v>41586149.445662335</v>
      </c>
    </row>
    <row r="10" spans="2:8" x14ac:dyDescent="0.3">
      <c r="B10" t="s">
        <v>10</v>
      </c>
      <c r="C10">
        <f>('Expor limpio'!C10/IPC!C10)*100</f>
        <v>19749791.346378561</v>
      </c>
      <c r="D10">
        <f>('Expor limpio'!D10/IPC!C10)*100</f>
        <v>7035741.2303733146</v>
      </c>
      <c r="E10">
        <f>('Expor limpio'!E10/IPC!C10)*100</f>
        <v>50778567.204443432</v>
      </c>
      <c r="F10">
        <f>('Import limpio'!C10/IPC!C10)*100</f>
        <v>9781186.8107425887</v>
      </c>
      <c r="G10">
        <f>('Import limpio'!D10/IPC!C10)*100</f>
        <v>10483187.553182492</v>
      </c>
      <c r="H10">
        <f>('Import limpio'!E10/IPC!C10)*100</f>
        <v>39993791.997107796</v>
      </c>
    </row>
    <row r="11" spans="2:8" x14ac:dyDescent="0.3">
      <c r="B11" t="s">
        <v>11</v>
      </c>
      <c r="C11">
        <f>('Expor limpio'!C11/IPC!C11)*100</f>
        <v>18543318.986298461</v>
      </c>
      <c r="D11">
        <f>('Expor limpio'!D11/IPC!C11)*100</f>
        <v>6587559.9331387393</v>
      </c>
      <c r="E11">
        <f>('Expor limpio'!E11/IPC!C11)*100</f>
        <v>50344970.279526189</v>
      </c>
      <c r="F11">
        <f>('Import limpio'!C11/IPC!C11)*100</f>
        <v>9964286.9018361531</v>
      </c>
      <c r="G11">
        <f>('Import limpio'!D11/IPC!C11)*100</f>
        <v>10469025.144136092</v>
      </c>
      <c r="H11">
        <f>('Import limpio'!E11/IPC!C11)*100</f>
        <v>43538213.873199508</v>
      </c>
    </row>
    <row r="12" spans="2:8" x14ac:dyDescent="0.3">
      <c r="B12" t="s">
        <v>12</v>
      </c>
      <c r="C12">
        <f>('Expor limpio'!C12/IPC!C12)*100</f>
        <v>18349746.795998599</v>
      </c>
      <c r="D12">
        <f>('Expor limpio'!D12/IPC!C12)*100</f>
        <v>7549435.6131594311</v>
      </c>
      <c r="E12">
        <f>('Expor limpio'!E12/IPC!C12)*100</f>
        <v>55503757.583656013</v>
      </c>
      <c r="F12">
        <f>('Import limpio'!C12/IPC!C12)*100</f>
        <v>10435047.281846413</v>
      </c>
      <c r="G12">
        <f>('Import limpio'!D12/IPC!C12)*100</f>
        <v>10873109.625491576</v>
      </c>
      <c r="H12">
        <f>('Import limpio'!E12/IPC!C12)*100</f>
        <v>45547967.742315054</v>
      </c>
    </row>
    <row r="13" spans="2:8" x14ac:dyDescent="0.3">
      <c r="B13" t="s">
        <v>13</v>
      </c>
      <c r="C13">
        <f>('Expor limpio'!C13/IPC!C13)*100</f>
        <v>20619613.682817288</v>
      </c>
      <c r="D13">
        <f>('Expor limpio'!D13/IPC!C13)*100</f>
        <v>8293917.3662421275</v>
      </c>
      <c r="E13">
        <f>('Expor limpio'!E13/IPC!C13)*100</f>
        <v>55207351.119827971</v>
      </c>
      <c r="F13">
        <f>('Import limpio'!C13/IPC!C13)*100</f>
        <v>10560322.63264191</v>
      </c>
      <c r="G13">
        <f>('Import limpio'!D13/IPC!C13)*100</f>
        <v>11634247.806207616</v>
      </c>
      <c r="H13">
        <f>('Import limpio'!E13/IPC!C13)*100</f>
        <v>48496913.538481332</v>
      </c>
    </row>
    <row r="14" spans="2:8" x14ac:dyDescent="0.3">
      <c r="B14" t="s">
        <v>14</v>
      </c>
      <c r="C14">
        <f>('Expor limpio'!C14/IPC!C14)*100</f>
        <v>21281028.368633389</v>
      </c>
      <c r="D14">
        <f>('Expor limpio'!D14/IPC!C14)*100</f>
        <v>8641986.5115920976</v>
      </c>
      <c r="E14">
        <f>('Expor limpio'!E14/IPC!C14)*100</f>
        <v>55272306.475910462</v>
      </c>
      <c r="F14">
        <f>('Import limpio'!C14/IPC!C14)*100</f>
        <v>11372350.232175795</v>
      </c>
      <c r="G14">
        <f>('Import limpio'!D14/IPC!C14)*100</f>
        <v>11836643.023777142</v>
      </c>
      <c r="H14">
        <f>('Import limpio'!E14/IPC!C14)*100</f>
        <v>50994557.236680374</v>
      </c>
    </row>
    <row r="15" spans="2:8" x14ac:dyDescent="0.3">
      <c r="B15" t="s">
        <v>15</v>
      </c>
      <c r="C15">
        <f>('Expor limpio'!C15/IPC!C15)*100</f>
        <v>23276453.8855859</v>
      </c>
      <c r="D15">
        <f>('Expor limpio'!D15/IPC!C15)*100</f>
        <v>9442114.9424893409</v>
      </c>
      <c r="E15">
        <f>('Expor limpio'!E15/IPC!C15)*100</f>
        <v>59705279.943084359</v>
      </c>
      <c r="F15">
        <f>('Import limpio'!C15/IPC!C15)*100</f>
        <v>12101027.105865303</v>
      </c>
      <c r="G15">
        <f>('Import limpio'!D15/IPC!C15)*100</f>
        <v>12890838.215307336</v>
      </c>
      <c r="H15">
        <f>('Import limpio'!E15/IPC!C15)*100</f>
        <v>53357812.112790331</v>
      </c>
    </row>
    <row r="16" spans="2:8" x14ac:dyDescent="0.3">
      <c r="B16" t="s">
        <v>16</v>
      </c>
      <c r="C16">
        <f>('Expor limpio'!C16/IPC!C16)*100</f>
        <v>27496884.750150349</v>
      </c>
      <c r="D16">
        <f>('Expor limpio'!D16/IPC!C16)*100</f>
        <v>10062794.002047356</v>
      </c>
      <c r="E16">
        <f>('Expor limpio'!E16/IPC!C16)*100</f>
        <v>76707402.66249752</v>
      </c>
      <c r="F16">
        <f>('Import limpio'!C16/IPC!C16)*100</f>
        <v>13812850.865210453</v>
      </c>
      <c r="G16">
        <f>('Import limpio'!D16/IPC!C16)*100</f>
        <v>15428844.511444565</v>
      </c>
      <c r="H16">
        <f>('Import limpio'!E16/IPC!C16)*100</f>
        <v>57188399.388466015</v>
      </c>
    </row>
    <row r="17" spans="2:8" x14ac:dyDescent="0.3">
      <c r="B17" t="s">
        <v>17</v>
      </c>
      <c r="C17">
        <f>('Expor limpio'!C17/IPC!C17)*100</f>
        <v>33666880.893740147</v>
      </c>
      <c r="D17">
        <f>('Expor limpio'!D17/IPC!C17)*100</f>
        <v>10493962.481612345</v>
      </c>
      <c r="E17">
        <f>('Expor limpio'!E17/IPC!C17)*100</f>
        <v>96823011.818514258</v>
      </c>
      <c r="F17">
        <f>('Import limpio'!C17/IPC!C17)*100</f>
        <v>14723623.634226197</v>
      </c>
      <c r="G17">
        <f>('Import limpio'!D17/IPC!C17)*100</f>
        <v>18154265.696264371</v>
      </c>
      <c r="H17">
        <f>('Import limpio'!E17/IPC!C17)*100</f>
        <v>58932146.921416059</v>
      </c>
    </row>
    <row r="18" spans="2:8" x14ac:dyDescent="0.3">
      <c r="B18" t="s">
        <v>18</v>
      </c>
      <c r="C18">
        <f>('Expor limpio'!C18/IPC!C18)*100</f>
        <v>28185449.820634507</v>
      </c>
      <c r="D18">
        <f>('Expor limpio'!D18/IPC!C18)*100</f>
        <v>10253324.523927741</v>
      </c>
      <c r="E18">
        <f>('Expor limpio'!E18/IPC!C18)*100</f>
        <v>81154824.258716568</v>
      </c>
      <c r="F18">
        <f>('Import limpio'!C18/IPC!C18)*100</f>
        <v>14041728.471429966</v>
      </c>
      <c r="G18">
        <f>('Import limpio'!D18/IPC!C18)*100</f>
        <v>13801744.412350878</v>
      </c>
      <c r="H18">
        <f>('Import limpio'!E18/IPC!C18)*100</f>
        <v>54116161.558800727</v>
      </c>
    </row>
    <row r="19" spans="2:8" x14ac:dyDescent="0.3">
      <c r="B19" t="s">
        <v>19</v>
      </c>
      <c r="C19">
        <f>('Expor limpio'!C19/IPC!C19)*100</f>
        <v>29936004.352537654</v>
      </c>
      <c r="D19">
        <f>('Expor limpio'!D19/IPC!C19)*100</f>
        <v>11263833.119360983</v>
      </c>
      <c r="E19">
        <f>('Expor limpio'!E19/IPC!C19)*100</f>
        <v>91725393.499596849</v>
      </c>
      <c r="F19">
        <f>('Import limpio'!C19/IPC!C19)*100</f>
        <v>15305252.101336196</v>
      </c>
      <c r="G19">
        <f>('Import limpio'!D19/IPC!C19)*100</f>
        <v>15336681.632337742</v>
      </c>
      <c r="H19">
        <f>('Import limpio'!E19/IPC!C19)*100</f>
        <v>59878662.265567921</v>
      </c>
    </row>
    <row r="20" spans="2:8" x14ac:dyDescent="0.3">
      <c r="B20" t="s">
        <v>20</v>
      </c>
      <c r="C20">
        <f>('Expor limpio'!C20/IPC!C20)*100</f>
        <v>33713203.295485578</v>
      </c>
      <c r="D20">
        <f>('Expor limpio'!D20/IPC!C20)*100</f>
        <v>13388717.361846555</v>
      </c>
      <c r="E20">
        <f>('Expor limpio'!E20/IPC!C20)*100</f>
        <v>105986259.35127214</v>
      </c>
      <c r="F20">
        <f>('Import limpio'!C20/IPC!C20)*100</f>
        <v>17277274.156088151</v>
      </c>
      <c r="G20">
        <f>('Import limpio'!D20/IPC!C20)*100</f>
        <v>18988880.903284051</v>
      </c>
      <c r="H20">
        <f>('Import limpio'!E20/IPC!C20)*100</f>
        <v>68406104.88452065</v>
      </c>
    </row>
    <row r="21" spans="2:8" x14ac:dyDescent="0.3">
      <c r="B21" t="s">
        <v>21</v>
      </c>
      <c r="C21">
        <f>('Expor limpio'!C21/IPC!C21)*100</f>
        <v>34947918.58020442</v>
      </c>
      <c r="D21">
        <f>('Expor limpio'!D21/IPC!C21)*100</f>
        <v>14046443.107288316</v>
      </c>
      <c r="E21">
        <f>('Expor limpio'!E21/IPC!C21)*100</f>
        <v>107744767.46958193</v>
      </c>
      <c r="F21">
        <f>('Import limpio'!C21/IPC!C21)*100</f>
        <v>17671526.562730793</v>
      </c>
      <c r="G21">
        <f>('Import limpio'!D21/IPC!C21)*100</f>
        <v>19333975.49083196</v>
      </c>
      <c r="H21">
        <f>('Import limpio'!E21/IPC!C21)*100</f>
        <v>72210674.176302522</v>
      </c>
    </row>
    <row r="22" spans="2:8" x14ac:dyDescent="0.3">
      <c r="B22" t="s">
        <v>22</v>
      </c>
      <c r="C22">
        <f>('Expor limpio'!C22/IPC!C22)*100</f>
        <v>35405933.192826018</v>
      </c>
      <c r="D22">
        <f>('Expor limpio'!D22/IPC!C22)*100</f>
        <v>14280098.358464442</v>
      </c>
      <c r="E22">
        <f>('Expor limpio'!E22/IPC!C22)*100</f>
        <v>106291034.6256136</v>
      </c>
      <c r="F22">
        <f>('Import limpio'!C22/IPC!C22)*100</f>
        <v>17845297.880730756</v>
      </c>
      <c r="G22">
        <f>('Import limpio'!D22/IPC!C22)*100</f>
        <v>18563598.68061316</v>
      </c>
      <c r="H22">
        <f>('Import limpio'!E22/IPC!C22)*100</f>
        <v>74125109.815570652</v>
      </c>
    </row>
    <row r="23" spans="2:8" x14ac:dyDescent="0.3">
      <c r="B23" t="s">
        <v>23</v>
      </c>
      <c r="C23">
        <f>('Expor limpio'!C23/IPC!C23)*100</f>
        <v>37807584.178549796</v>
      </c>
      <c r="D23">
        <f>('Expor limpio'!D23/IPC!C23)*100</f>
        <v>31142646.422240317</v>
      </c>
      <c r="E23">
        <f>('Expor limpio'!E23/IPC!C23)*100</f>
        <v>111878331.26814565</v>
      </c>
      <c r="F23">
        <f>('Import limpio'!C23/IPC!C23)*100</f>
        <v>18336494.214689896</v>
      </c>
      <c r="G23">
        <f>('Import limpio'!D23/IPC!C23)*100</f>
        <v>38246297.182527736</v>
      </c>
      <c r="H23">
        <f>('Import limpio'!E23/IPC!C23)*100</f>
        <v>81058111.922464922</v>
      </c>
    </row>
    <row r="24" spans="2:8" x14ac:dyDescent="0.3">
      <c r="B24" t="s">
        <v>24</v>
      </c>
      <c r="C24">
        <f>('Expor limpio'!C24/IPC!C24)*100</f>
        <v>69604770.222516492</v>
      </c>
      <c r="D24">
        <f>('Expor limpio'!D24/IPC!C24)*100</f>
        <v>33300286.486220587</v>
      </c>
      <c r="E24">
        <f>('Expor limpio'!E24/IPC!C24)*100</f>
        <v>95421522.970608175</v>
      </c>
      <c r="F24">
        <f>('Import limpio'!C24/IPC!C24)*100</f>
        <v>35315987.093116254</v>
      </c>
      <c r="G24">
        <f>('Import limpio'!D24/IPC!C24)*100</f>
        <v>33852692.378496818</v>
      </c>
      <c r="H24">
        <f>('Import limpio'!E24/IPC!C24)*100</f>
        <v>80454884.279314235</v>
      </c>
    </row>
    <row r="25" spans="2:8" x14ac:dyDescent="0.3">
      <c r="B25" t="s">
        <v>25</v>
      </c>
      <c r="C25">
        <f>('Expor limpio'!C25/IPC!C25)*100</f>
        <v>65917404.292167746</v>
      </c>
      <c r="D25">
        <f>('Expor limpio'!D25/IPC!C25)*100</f>
        <v>36536768.396405123</v>
      </c>
      <c r="E25">
        <f>('Expor limpio'!E25/IPC!C25)*100</f>
        <v>98181122.108483493</v>
      </c>
      <c r="F25">
        <f>('Import limpio'!C25/IPC!C25)*100</f>
        <v>34514214.445653401</v>
      </c>
      <c r="G25">
        <f>('Import limpio'!D25/IPC!C25)*100</f>
        <v>33567101.883289501</v>
      </c>
      <c r="H25">
        <f>('Import limpio'!E25/IPC!C25)*100</f>
        <v>79072449.556454644</v>
      </c>
    </row>
    <row r="26" spans="2:8" x14ac:dyDescent="0.3">
      <c r="B26" t="s">
        <v>26</v>
      </c>
      <c r="C26">
        <f>('Expor limpio'!C26/IPC!C26)*100</f>
        <v>68187084.407130226</v>
      </c>
      <c r="D26">
        <f>('Expor limpio'!D26/IPC!C26)*100</f>
        <v>38564039.702803321</v>
      </c>
      <c r="E26">
        <f>('Expor limpio'!E26/IPC!C26)*100</f>
        <v>98551011.023821935</v>
      </c>
      <c r="F26">
        <f>('Import limpio'!C26/IPC!C26)*100</f>
        <v>35364568.096907258</v>
      </c>
      <c r="G26">
        <f>('Import limpio'!D26/IPC!C26)*100</f>
        <v>35451459.311978959</v>
      </c>
      <c r="H26">
        <f>('Import limpio'!E26/IPC!C26)*100</f>
        <v>82245895.150448039</v>
      </c>
    </row>
    <row r="27" spans="2:8" x14ac:dyDescent="0.3">
      <c r="B27" t="s">
        <v>27</v>
      </c>
      <c r="C27">
        <f>('Expor limpio'!C27/IPC!C27)*100</f>
        <v>67215025.536109999</v>
      </c>
      <c r="D27">
        <f>('Expor limpio'!D27/IPC!C27)*100</f>
        <v>39208312.380000003</v>
      </c>
      <c r="E27">
        <f>('Expor limpio'!E27/IPC!C27)*100</f>
        <v>95454718.045000002</v>
      </c>
      <c r="F27">
        <f>('Import limpio'!C27/IPC!C27)*100</f>
        <v>35567925.393339999</v>
      </c>
      <c r="G27">
        <f>('Import limpio'!D27/IPC!C27)*100</f>
        <v>36504009.942000002</v>
      </c>
      <c r="H27">
        <f>('Import limpio'!E27/IPC!C27)*100</f>
        <v>82957994.488000005</v>
      </c>
    </row>
    <row r="28" spans="2:8" x14ac:dyDescent="0.3">
      <c r="B28" t="s">
        <v>28</v>
      </c>
      <c r="C28">
        <f>('Expor limpio'!C28/IPC!C28)*100</f>
        <v>63737619.559077777</v>
      </c>
      <c r="D28">
        <f>('Expor limpio'!D28/IPC!C28)*100</f>
        <v>41354795.195414782</v>
      </c>
      <c r="E28">
        <f>('Expor limpio'!E28/IPC!C28)*100</f>
        <v>91943250.009198189</v>
      </c>
      <c r="F28">
        <f>('Import limpio'!C28/IPC!C28)*100</f>
        <v>35661642.338466331</v>
      </c>
      <c r="G28">
        <f>('Import limpio'!D28/IPC!C28)*100</f>
        <v>37074257.536763594</v>
      </c>
      <c r="H28">
        <f>('Import limpio'!E28/IPC!C28)*100</f>
        <v>82951728.250549763</v>
      </c>
    </row>
    <row r="29" spans="2:8" x14ac:dyDescent="0.3">
      <c r="B29" t="s">
        <v>29</v>
      </c>
      <c r="C29">
        <f>('Expor limpio'!C29/IPC!C29)*100</f>
        <v>70539915.33255896</v>
      </c>
      <c r="D29">
        <f>('Expor limpio'!D29/IPC!C29)*100</f>
        <v>42815257.901924379</v>
      </c>
      <c r="E29">
        <f>('Expor limpio'!E29/IPC!C29)*100</f>
        <v>99321978.65799427</v>
      </c>
      <c r="F29">
        <f>('Import limpio'!C29/IPC!C29)*100</f>
        <v>35409210.326460987</v>
      </c>
      <c r="G29">
        <f>('Import limpio'!D29/IPC!C29)*100</f>
        <v>34502345.712721534</v>
      </c>
      <c r="H29">
        <f>('Import limpio'!E29/IPC!C29)*100</f>
        <v>82785919.054967552</v>
      </c>
    </row>
    <row r="30" spans="2:8" x14ac:dyDescent="0.3">
      <c r="B30" t="s">
        <v>30</v>
      </c>
      <c r="C30">
        <f>('Expor limpio'!C30/IPC!C30)*100</f>
        <v>78226494.681276023</v>
      </c>
      <c r="D30">
        <f>('Expor limpio'!D30/IPC!C30)*100</f>
        <v>44988870.209946796</v>
      </c>
      <c r="E30">
        <f>('Expor limpio'!E30/IPC!C30)*100</f>
        <v>114049768.87944171</v>
      </c>
      <c r="F30">
        <f>('Import limpio'!C30/IPC!C30)*100</f>
        <v>39276317.658668116</v>
      </c>
      <c r="G30">
        <f>('Import limpio'!D30/IPC!C30)*100</f>
        <v>46693930.402187675</v>
      </c>
      <c r="H30">
        <f>('Import limpio'!E30/IPC!C30)*100</f>
        <v>94425328.623292148</v>
      </c>
    </row>
    <row r="31" spans="2:8" x14ac:dyDescent="0.3">
      <c r="B31" t="s">
        <v>31</v>
      </c>
      <c r="C31">
        <f>('Expor limpio'!C31/IPC!C31)*100</f>
        <v>76189122.665672138</v>
      </c>
      <c r="D31">
        <f>('Expor limpio'!D31/IPC!C31)*100</f>
        <v>26108897.68744142</v>
      </c>
      <c r="E31">
        <f>('Expor limpio'!E31/IPC!C31)*100</f>
        <v>115274784.10832001</v>
      </c>
      <c r="F31">
        <f>('Import limpio'!C31/IPC!C31)*100</f>
        <v>40700718.84236984</v>
      </c>
      <c r="G31">
        <f>('Import limpio'!D31/IPC!C31)*100</f>
        <v>41514054.886940986</v>
      </c>
      <c r="H31">
        <f>('Import limpio'!E31/IPC!C31)*100</f>
        <v>98242701.024634153</v>
      </c>
    </row>
    <row r="32" spans="2:8" x14ac:dyDescent="0.3">
      <c r="B32" t="s">
        <v>32</v>
      </c>
      <c r="C32">
        <f>('Expor limpio'!C32/IPC!C32)*100</f>
        <v>74058684.251740426</v>
      </c>
      <c r="D32">
        <f>('Expor limpio'!D32/IPC!C32)*100</f>
        <v>25029695.189463951</v>
      </c>
      <c r="E32">
        <f>('Expor limpio'!E32/IPC!C32)*100</f>
        <v>96430439.679719567</v>
      </c>
      <c r="F32">
        <f>('Import limpio'!C32/IPC!C32)*100</f>
        <v>37118017.901166812</v>
      </c>
      <c r="G32">
        <f>('Import limpio'!D32/IPC!C32)*100</f>
        <v>39327687.045400731</v>
      </c>
      <c r="H32">
        <f>('Import limpio'!E32/IPC!C32)*100</f>
        <v>89385295.987201855</v>
      </c>
    </row>
    <row r="33" spans="2:8" x14ac:dyDescent="0.3">
      <c r="B33" t="s">
        <v>33</v>
      </c>
      <c r="C33">
        <f>('Expor limpio'!C33/IPC!C33)*100</f>
        <v>70580606.343912616</v>
      </c>
      <c r="D33">
        <f>('Expor limpio'!D33/IPC!C33)*100</f>
        <v>25899527.476486918</v>
      </c>
      <c r="E33">
        <f>('Expor limpio'!E33/IPC!C33)*100</f>
        <v>93594132.950477883</v>
      </c>
      <c r="F33">
        <f>('Import limpio'!C33/IPC!C33)*100</f>
        <v>38231444.569983967</v>
      </c>
      <c r="G33">
        <f>('Import limpio'!D33/IPC!C33)*100</f>
        <v>38185299.364837006</v>
      </c>
      <c r="H33">
        <f>('Import limpio'!E33/IPC!C33)*100</f>
        <v>93027604.756166488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D4A6-3A4E-4E2C-A132-D70B10A494CA}">
  <dimension ref="B2:C33"/>
  <sheetViews>
    <sheetView workbookViewId="0">
      <selection activeCell="D5" sqref="D5"/>
    </sheetView>
  </sheetViews>
  <sheetFormatPr baseColWidth="10" defaultRowHeight="14.4" x14ac:dyDescent="0.3"/>
  <sheetData>
    <row r="2" spans="2:3" x14ac:dyDescent="0.3">
      <c r="C2" t="s">
        <v>40</v>
      </c>
    </row>
    <row r="3" spans="2:3" x14ac:dyDescent="0.3">
      <c r="B3" t="s">
        <v>3</v>
      </c>
      <c r="C3">
        <v>59.018665349830947</v>
      </c>
    </row>
    <row r="4" spans="2:3" x14ac:dyDescent="0.3">
      <c r="B4" t="s">
        <v>4</v>
      </c>
      <c r="C4">
        <v>60.691259104684455</v>
      </c>
    </row>
    <row r="5" spans="2:3" x14ac:dyDescent="0.3">
      <c r="B5" t="s">
        <v>5</v>
      </c>
      <c r="C5">
        <v>62.483323842027502</v>
      </c>
    </row>
    <row r="6" spans="2:3" x14ac:dyDescent="0.3">
      <c r="B6" t="s">
        <v>6</v>
      </c>
      <c r="C6">
        <v>63.916975631901941</v>
      </c>
    </row>
    <row r="7" spans="2:3" x14ac:dyDescent="0.3">
      <c r="B7" t="s">
        <v>7</v>
      </c>
      <c r="C7">
        <v>64.912567152648066</v>
      </c>
    </row>
    <row r="8" spans="2:3" x14ac:dyDescent="0.3">
      <c r="B8" t="s">
        <v>8</v>
      </c>
      <c r="C8">
        <v>66.346218942522512</v>
      </c>
    </row>
    <row r="9" spans="2:3" x14ac:dyDescent="0.3">
      <c r="B9" t="s">
        <v>9</v>
      </c>
      <c r="C9">
        <v>68.576343948993852</v>
      </c>
    </row>
    <row r="10" spans="2:3" x14ac:dyDescent="0.3">
      <c r="B10" t="s">
        <v>10</v>
      </c>
      <c r="C10">
        <v>70.527703329656276</v>
      </c>
    </row>
    <row r="11" spans="2:3" x14ac:dyDescent="0.3">
      <c r="B11" t="s">
        <v>11</v>
      </c>
      <c r="C11">
        <v>71.642765832891953</v>
      </c>
    </row>
    <row r="12" spans="2:3" x14ac:dyDescent="0.3">
      <c r="B12" t="s">
        <v>12</v>
      </c>
      <c r="C12">
        <v>73.275535926915609</v>
      </c>
    </row>
    <row r="13" spans="2:3" x14ac:dyDescent="0.3">
      <c r="B13" t="s">
        <v>13</v>
      </c>
      <c r="C13">
        <v>75.226895307578047</v>
      </c>
    </row>
    <row r="14" spans="2:3" x14ac:dyDescent="0.3">
      <c r="B14" t="s">
        <v>14</v>
      </c>
      <c r="C14">
        <v>77.775609600688156</v>
      </c>
    </row>
    <row r="15" spans="2:3" x14ac:dyDescent="0.3">
      <c r="B15" t="s">
        <v>15</v>
      </c>
      <c r="C15">
        <v>80.284500232968412</v>
      </c>
    </row>
    <row r="16" spans="2:3" x14ac:dyDescent="0.3">
      <c r="B16" t="s">
        <v>16</v>
      </c>
      <c r="C16">
        <v>82.571174837818148</v>
      </c>
    </row>
    <row r="17" spans="2:3" x14ac:dyDescent="0.3">
      <c r="B17" t="s">
        <v>17</v>
      </c>
      <c r="C17">
        <v>85.741536476482139</v>
      </c>
    </row>
    <row r="18" spans="2:3" x14ac:dyDescent="0.3">
      <c r="B18" t="s">
        <v>18</v>
      </c>
      <c r="C18">
        <v>85.436487234525529</v>
      </c>
    </row>
    <row r="19" spans="2:3" x14ac:dyDescent="0.3">
      <c r="B19" t="s">
        <v>19</v>
      </c>
      <c r="C19">
        <v>86.837881859127791</v>
      </c>
    </row>
    <row r="20" spans="2:3" x14ac:dyDescent="0.3">
      <c r="B20" t="s">
        <v>20</v>
      </c>
      <c r="C20">
        <v>89.578944434046036</v>
      </c>
    </row>
    <row r="21" spans="2:3" x14ac:dyDescent="0.3">
      <c r="B21" t="s">
        <v>21</v>
      </c>
      <c r="C21">
        <v>91.432735845675353</v>
      </c>
    </row>
    <row r="22" spans="2:3" x14ac:dyDescent="0.3">
      <c r="B22" t="s">
        <v>22</v>
      </c>
      <c r="C22">
        <v>92.772005559383047</v>
      </c>
    </row>
    <row r="23" spans="2:3" x14ac:dyDescent="0.3">
      <c r="B23" t="s">
        <v>23</v>
      </c>
      <c r="C23">
        <v>94.276941702142906</v>
      </c>
    </row>
    <row r="24" spans="2:3" x14ac:dyDescent="0.3">
      <c r="B24" t="s">
        <v>24</v>
      </c>
      <c r="C24">
        <v>94.388846189074769</v>
      </c>
    </row>
    <row r="25" spans="2:3" x14ac:dyDescent="0.3">
      <c r="B25" t="s">
        <v>25</v>
      </c>
      <c r="C25">
        <v>95.579573647887159</v>
      </c>
    </row>
    <row r="26" spans="2:3" x14ac:dyDescent="0.3">
      <c r="B26" t="s">
        <v>26</v>
      </c>
      <c r="C26">
        <v>97.615757426117156</v>
      </c>
    </row>
    <row r="27" spans="2:3" x14ac:dyDescent="0.3">
      <c r="B27" t="s">
        <v>27</v>
      </c>
      <c r="C27">
        <v>100</v>
      </c>
    </row>
    <row r="28" spans="2:3" x14ac:dyDescent="0.3">
      <c r="B28" t="s">
        <v>28</v>
      </c>
      <c r="C28">
        <v>101.81197656775798</v>
      </c>
    </row>
    <row r="29" spans="2:3" x14ac:dyDescent="0.3">
      <c r="B29" t="s">
        <v>29</v>
      </c>
      <c r="C29">
        <v>103.06801483033128</v>
      </c>
    </row>
    <row r="30" spans="2:3" x14ac:dyDescent="0.3">
      <c r="B30" t="s">
        <v>30</v>
      </c>
      <c r="C30">
        <v>107.91017375063221</v>
      </c>
    </row>
    <row r="31" spans="2:3" x14ac:dyDescent="0.3">
      <c r="B31" t="s">
        <v>31</v>
      </c>
      <c r="C31">
        <v>116.54593460158418</v>
      </c>
    </row>
    <row r="32" spans="2:3" x14ac:dyDescent="0.3">
      <c r="B32" t="s">
        <v>32</v>
      </c>
      <c r="C32">
        <v>121.34349102175565</v>
      </c>
    </row>
    <row r="33" spans="2:3" x14ac:dyDescent="0.3">
      <c r="B33" t="s">
        <v>33</v>
      </c>
      <c r="C33">
        <v>124.9224434205339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2E26-9A18-4BA3-BEB0-BA48F457E1D6}">
  <dimension ref="B2:E33"/>
  <sheetViews>
    <sheetView workbookViewId="0">
      <selection activeCell="C2" sqref="C2:E2"/>
    </sheetView>
  </sheetViews>
  <sheetFormatPr baseColWidth="10" defaultRowHeight="14.4" x14ac:dyDescent="0.3"/>
  <cols>
    <col min="3" max="3" width="16.109375" customWidth="1"/>
    <col min="4" max="4" width="16.5546875" customWidth="1"/>
    <col min="5" max="5" width="14.21875" customWidth="1"/>
  </cols>
  <sheetData>
    <row r="2" spans="2:5" x14ac:dyDescent="0.3">
      <c r="B2" t="s">
        <v>2</v>
      </c>
      <c r="C2" t="s">
        <v>34</v>
      </c>
      <c r="D2" t="s">
        <v>35</v>
      </c>
      <c r="E2" t="s">
        <v>36</v>
      </c>
    </row>
    <row r="3" spans="2:5" x14ac:dyDescent="0.3">
      <c r="B3" t="s">
        <v>3</v>
      </c>
      <c r="C3">
        <v>9837443.8770000003</v>
      </c>
      <c r="D3">
        <v>3281487.733</v>
      </c>
      <c r="E3">
        <v>31563711.327</v>
      </c>
    </row>
    <row r="4" spans="2:5" x14ac:dyDescent="0.3">
      <c r="B4" t="s">
        <v>4</v>
      </c>
      <c r="C4">
        <v>11212146.463</v>
      </c>
      <c r="D4">
        <v>4707453.0159999998</v>
      </c>
      <c r="E4">
        <v>39513951.723999999</v>
      </c>
    </row>
    <row r="5" spans="2:5" x14ac:dyDescent="0.3">
      <c r="B5" t="s">
        <v>5</v>
      </c>
      <c r="C5">
        <v>12411172.09</v>
      </c>
      <c r="D5">
        <v>4307780.6469999999</v>
      </c>
      <c r="E5">
        <v>43681326.686999999</v>
      </c>
    </row>
    <row r="6" spans="2:5" x14ac:dyDescent="0.3">
      <c r="B6" t="s">
        <v>6</v>
      </c>
      <c r="C6">
        <v>13402923.335000001</v>
      </c>
      <c r="D6">
        <v>4734525.182</v>
      </c>
      <c r="E6">
        <v>38303989.766000003</v>
      </c>
    </row>
    <row r="7" spans="2:5" x14ac:dyDescent="0.3">
      <c r="B7" t="s">
        <v>7</v>
      </c>
      <c r="C7">
        <v>12164634.247</v>
      </c>
      <c r="D7">
        <v>4936738.1399999997</v>
      </c>
      <c r="E7">
        <v>33494099.774</v>
      </c>
    </row>
    <row r="8" spans="2:5" x14ac:dyDescent="0.3">
      <c r="B8" t="s">
        <v>8</v>
      </c>
      <c r="C8">
        <v>11765295.119999999</v>
      </c>
      <c r="D8">
        <v>4901568.76</v>
      </c>
      <c r="E8">
        <v>33432094.969000001</v>
      </c>
    </row>
    <row r="9" spans="2:5" x14ac:dyDescent="0.3">
      <c r="B9" t="s">
        <v>9</v>
      </c>
      <c r="C9">
        <v>12756854.234999999</v>
      </c>
      <c r="D9">
        <v>5258674.9809999997</v>
      </c>
      <c r="E9">
        <v>35348919.984999999</v>
      </c>
    </row>
    <row r="10" spans="2:5" x14ac:dyDescent="0.3">
      <c r="B10" t="s">
        <v>10</v>
      </c>
      <c r="C10">
        <v>13929074.249</v>
      </c>
      <c r="D10">
        <v>4962146.7019999996</v>
      </c>
      <c r="E10">
        <v>35812957.233000003</v>
      </c>
    </row>
    <row r="11" spans="2:5" x14ac:dyDescent="0.3">
      <c r="B11" t="s">
        <v>11</v>
      </c>
      <c r="C11">
        <v>13284946.598999999</v>
      </c>
      <c r="D11">
        <v>4719510.1370000001</v>
      </c>
      <c r="E11">
        <v>36068529.166000001</v>
      </c>
    </row>
    <row r="12" spans="2:5" x14ac:dyDescent="0.3">
      <c r="B12" t="s">
        <v>12</v>
      </c>
      <c r="C12">
        <v>13445875.306</v>
      </c>
      <c r="D12">
        <v>5531889.4050000003</v>
      </c>
      <c r="E12">
        <v>40670675.829000004</v>
      </c>
    </row>
    <row r="13" spans="2:5" x14ac:dyDescent="0.3">
      <c r="B13" t="s">
        <v>13</v>
      </c>
      <c r="C13">
        <v>15511495.198000001</v>
      </c>
      <c r="D13">
        <v>6239256.534</v>
      </c>
      <c r="E13">
        <v>41530776.229000002</v>
      </c>
    </row>
    <row r="14" spans="2:5" x14ac:dyDescent="0.3">
      <c r="B14" t="s">
        <v>14</v>
      </c>
      <c r="C14">
        <v>16551449.543</v>
      </c>
      <c r="D14">
        <v>6721357.6909999996</v>
      </c>
      <c r="E14">
        <v>42988373.302000001</v>
      </c>
    </row>
    <row r="15" spans="2:5" x14ac:dyDescent="0.3">
      <c r="B15" t="s">
        <v>15</v>
      </c>
      <c r="C15">
        <v>18687384.673999999</v>
      </c>
      <c r="D15">
        <v>7580554.7929999996</v>
      </c>
      <c r="E15">
        <v>47934085.615000002</v>
      </c>
    </row>
    <row r="16" spans="2:5" x14ac:dyDescent="0.3">
      <c r="B16" t="s">
        <v>16</v>
      </c>
      <c r="C16">
        <v>22704500.782000002</v>
      </c>
      <c r="D16">
        <v>8308967.2290000003</v>
      </c>
      <c r="E16">
        <v>63338203.566</v>
      </c>
    </row>
    <row r="17" spans="2:5" x14ac:dyDescent="0.3">
      <c r="B17" t="s">
        <v>17</v>
      </c>
      <c r="C17">
        <v>28866500.962000001</v>
      </c>
      <c r="D17">
        <v>8997684.6689999998</v>
      </c>
      <c r="E17">
        <v>83017537.996000007</v>
      </c>
    </row>
    <row r="18" spans="2:5" x14ac:dyDescent="0.3">
      <c r="B18" t="s">
        <v>18</v>
      </c>
      <c r="C18">
        <v>24080658.238000002</v>
      </c>
      <c r="D18">
        <v>8760080.2980000004</v>
      </c>
      <c r="E18">
        <v>69335831.068000004</v>
      </c>
    </row>
    <row r="19" spans="2:5" x14ac:dyDescent="0.3">
      <c r="B19" t="s">
        <v>19</v>
      </c>
      <c r="C19">
        <v>25995792.092999998</v>
      </c>
      <c r="D19">
        <v>9781274.0969999991</v>
      </c>
      <c r="E19">
        <v>79652388.841999993</v>
      </c>
    </row>
    <row r="20" spans="2:5" x14ac:dyDescent="0.3">
      <c r="B20" t="s">
        <v>20</v>
      </c>
      <c r="C20">
        <v>30199931.647</v>
      </c>
      <c r="D20">
        <v>11993471.686000001</v>
      </c>
      <c r="E20">
        <v>94941372.371999994</v>
      </c>
    </row>
    <row r="21" spans="2:5" x14ac:dyDescent="0.3">
      <c r="B21" t="s">
        <v>21</v>
      </c>
      <c r="C21">
        <v>31953838.079</v>
      </c>
      <c r="D21">
        <v>12843047.221999999</v>
      </c>
      <c r="E21">
        <v>98513988.628000006</v>
      </c>
    </row>
    <row r="22" spans="2:5" x14ac:dyDescent="0.3">
      <c r="B22" t="s">
        <v>22</v>
      </c>
      <c r="C22">
        <v>32846794.309999999</v>
      </c>
      <c r="D22">
        <v>13247933.642999999</v>
      </c>
      <c r="E22">
        <v>98608324.552000001</v>
      </c>
    </row>
    <row r="23" spans="2:5" x14ac:dyDescent="0.3">
      <c r="B23" t="s">
        <v>23</v>
      </c>
      <c r="C23">
        <v>35643834.094999999</v>
      </c>
      <c r="D23">
        <v>29360334.612</v>
      </c>
      <c r="E23">
        <v>105475469.147</v>
      </c>
    </row>
    <row r="24" spans="2:5" x14ac:dyDescent="0.3">
      <c r="B24" t="s">
        <v>24</v>
      </c>
      <c r="C24">
        <v>65699139.505589999</v>
      </c>
      <c r="D24">
        <v>31431756.192000002</v>
      </c>
      <c r="E24">
        <v>90067274.547999993</v>
      </c>
    </row>
    <row r="25" spans="2:5" x14ac:dyDescent="0.3">
      <c r="B25" t="s">
        <v>25</v>
      </c>
      <c r="C25">
        <v>63003573.982207999</v>
      </c>
      <c r="D25">
        <v>34921687.457999997</v>
      </c>
      <c r="E25">
        <v>93841097.914000005</v>
      </c>
    </row>
    <row r="26" spans="2:5" x14ac:dyDescent="0.3">
      <c r="B26" t="s">
        <v>26</v>
      </c>
      <c r="C26">
        <v>66561338.910806</v>
      </c>
      <c r="D26">
        <v>37644579.450000003</v>
      </c>
      <c r="E26">
        <v>96201315.862000003</v>
      </c>
    </row>
    <row r="27" spans="2:5" x14ac:dyDescent="0.3">
      <c r="B27" t="s">
        <v>27</v>
      </c>
      <c r="C27">
        <v>67215025.536109999</v>
      </c>
      <c r="D27">
        <v>39208312.380000003</v>
      </c>
      <c r="E27">
        <v>95454718.045000002</v>
      </c>
    </row>
    <row r="28" spans="2:5" x14ac:dyDescent="0.3">
      <c r="B28" t="s">
        <v>28</v>
      </c>
      <c r="C28">
        <v>64892530.290335</v>
      </c>
      <c r="D28">
        <v>42104134.394000001</v>
      </c>
      <c r="E28">
        <v>93609240.155000001</v>
      </c>
    </row>
    <row r="29" spans="2:5" x14ac:dyDescent="0.3">
      <c r="B29" t="s">
        <v>29</v>
      </c>
      <c r="C29">
        <v>72704090.396265</v>
      </c>
      <c r="D29">
        <v>44128836.364</v>
      </c>
      <c r="E29">
        <v>102369191.693</v>
      </c>
    </row>
    <row r="30" spans="2:5" x14ac:dyDescent="0.3">
      <c r="B30" t="s">
        <v>30</v>
      </c>
      <c r="C30">
        <v>84414346.329594016</v>
      </c>
      <c r="D30">
        <v>48547568.012000002</v>
      </c>
      <c r="E30">
        <v>123071303.76000001</v>
      </c>
    </row>
    <row r="31" spans="2:5" x14ac:dyDescent="0.3">
      <c r="B31" t="s">
        <v>31</v>
      </c>
      <c r="C31">
        <v>88795325.075454995</v>
      </c>
      <c r="D31">
        <v>30428858.824000001</v>
      </c>
      <c r="E31">
        <v>134348074.49900001</v>
      </c>
    </row>
    <row r="32" spans="2:5" x14ac:dyDescent="0.3">
      <c r="B32" t="s">
        <v>32</v>
      </c>
      <c r="C32">
        <v>89865392.875841007</v>
      </c>
      <c r="D32">
        <v>30371905.934999999</v>
      </c>
      <c r="E32">
        <v>117012061.91500001</v>
      </c>
    </row>
    <row r="33" spans="2:5" x14ac:dyDescent="0.3">
      <c r="B33" t="s">
        <v>33</v>
      </c>
      <c r="C33">
        <v>88171018.025843993</v>
      </c>
      <c r="D33">
        <v>32354322.557999998</v>
      </c>
      <c r="E33">
        <v>116920077.78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8D31-DE75-430C-996A-5547DA14F4FD}">
  <dimension ref="B2:E33"/>
  <sheetViews>
    <sheetView workbookViewId="0">
      <selection activeCell="G15" sqref="G15"/>
    </sheetView>
  </sheetViews>
  <sheetFormatPr baseColWidth="10" defaultRowHeight="14.4" x14ac:dyDescent="0.3"/>
  <sheetData>
    <row r="2" spans="2:5" x14ac:dyDescent="0.3">
      <c r="B2" t="s">
        <v>2</v>
      </c>
      <c r="C2" t="s">
        <v>34</v>
      </c>
      <c r="D2" t="s">
        <v>35</v>
      </c>
      <c r="E2" t="s">
        <v>36</v>
      </c>
    </row>
    <row r="3" spans="2:5" x14ac:dyDescent="0.3">
      <c r="B3" t="s">
        <v>3</v>
      </c>
      <c r="C3">
        <v>4911995.8990000002</v>
      </c>
      <c r="D3">
        <v>4544788.0319999997</v>
      </c>
      <c r="E3">
        <v>21545698.899</v>
      </c>
    </row>
    <row r="4" spans="2:5" x14ac:dyDescent="0.3">
      <c r="B4" t="s">
        <v>4</v>
      </c>
      <c r="C4">
        <v>5256476.8930000002</v>
      </c>
      <c r="D4">
        <v>3256198.9840000002</v>
      </c>
      <c r="E4">
        <v>23249600.144000001</v>
      </c>
    </row>
    <row r="5" spans="2:5" x14ac:dyDescent="0.3">
      <c r="B5" t="s">
        <v>5</v>
      </c>
      <c r="C5">
        <v>5436951.0049999999</v>
      </c>
      <c r="D5">
        <v>5390006.2920000004</v>
      </c>
      <c r="E5">
        <v>23799357.978</v>
      </c>
    </row>
    <row r="6" spans="2:5" x14ac:dyDescent="0.3">
      <c r="B6" t="s">
        <v>6</v>
      </c>
      <c r="C6">
        <v>5882702.0970000001</v>
      </c>
      <c r="D6">
        <v>5229946.8720000004</v>
      </c>
      <c r="E6">
        <v>27023636.313000001</v>
      </c>
    </row>
    <row r="7" spans="2:5" x14ac:dyDescent="0.3">
      <c r="B7" t="s">
        <v>7</v>
      </c>
      <c r="C7">
        <v>5979808.2599999998</v>
      </c>
      <c r="D7">
        <v>5530831.4550000001</v>
      </c>
      <c r="E7">
        <v>28083293.033</v>
      </c>
    </row>
    <row r="8" spans="2:5" x14ac:dyDescent="0.3">
      <c r="B8" t="s">
        <v>8</v>
      </c>
      <c r="C8">
        <v>6195552.1390000004</v>
      </c>
      <c r="D8">
        <v>5613188.8439999996</v>
      </c>
      <c r="E8">
        <v>29076775.162999999</v>
      </c>
    </row>
    <row r="9" spans="2:5" x14ac:dyDescent="0.3">
      <c r="B9" t="s">
        <v>9</v>
      </c>
      <c r="C9">
        <v>6577768.3039999995</v>
      </c>
      <c r="D9">
        <v>6370707.4570000004</v>
      </c>
      <c r="E9">
        <v>28518260.879000001</v>
      </c>
    </row>
    <row r="10" spans="2:5" x14ac:dyDescent="0.3">
      <c r="B10" t="s">
        <v>10</v>
      </c>
      <c r="C10">
        <v>6898446.4160000002</v>
      </c>
      <c r="D10">
        <v>7393551.4170000004</v>
      </c>
      <c r="E10">
        <v>28206702.969999999</v>
      </c>
    </row>
    <row r="11" spans="2:5" x14ac:dyDescent="0.3">
      <c r="B11" t="s">
        <v>11</v>
      </c>
      <c r="C11">
        <v>7138690.7319999998</v>
      </c>
      <c r="D11">
        <v>7500299.1689999998</v>
      </c>
      <c r="E11">
        <v>31191980.613000002</v>
      </c>
    </row>
    <row r="12" spans="2:5" x14ac:dyDescent="0.3">
      <c r="B12" t="s">
        <v>12</v>
      </c>
      <c r="C12">
        <v>7646336.8200000003</v>
      </c>
      <c r="D12">
        <v>7967329.3499999996</v>
      </c>
      <c r="E12">
        <v>33375517.467</v>
      </c>
    </row>
    <row r="13" spans="2:5" x14ac:dyDescent="0.3">
      <c r="B13" t="s">
        <v>13</v>
      </c>
      <c r="C13">
        <v>7944202.8509999998</v>
      </c>
      <c r="D13">
        <v>8752083.4169999994</v>
      </c>
      <c r="E13">
        <v>36482722.375</v>
      </c>
    </row>
    <row r="14" spans="2:5" x14ac:dyDescent="0.3">
      <c r="B14" t="s">
        <v>14</v>
      </c>
      <c r="C14">
        <v>8844914.7190000005</v>
      </c>
      <c r="D14">
        <v>9206021.2679999992</v>
      </c>
      <c r="E14">
        <v>39661327.754000001</v>
      </c>
    </row>
    <row r="15" spans="2:5" x14ac:dyDescent="0.3">
      <c r="B15" t="s">
        <v>15</v>
      </c>
      <c r="C15">
        <v>9715249.1349999998</v>
      </c>
      <c r="D15">
        <v>10349345.037</v>
      </c>
      <c r="E15">
        <v>42838052.789999999</v>
      </c>
    </row>
    <row r="16" spans="2:5" x14ac:dyDescent="0.3">
      <c r="B16" t="s">
        <v>16</v>
      </c>
      <c r="C16">
        <v>11405433.238</v>
      </c>
      <c r="D16">
        <v>12739778.176999999</v>
      </c>
      <c r="E16">
        <v>47221133.245999999</v>
      </c>
    </row>
    <row r="17" spans="2:5" x14ac:dyDescent="0.3">
      <c r="B17" t="s">
        <v>17</v>
      </c>
      <c r="C17">
        <v>12624261.129000001</v>
      </c>
      <c r="D17">
        <v>15565746.344000001</v>
      </c>
      <c r="E17">
        <v>50529328.248999998</v>
      </c>
    </row>
    <row r="18" spans="2:5" x14ac:dyDescent="0.3">
      <c r="B18" t="s">
        <v>18</v>
      </c>
      <c r="C18">
        <v>11996759.552999999</v>
      </c>
      <c r="D18">
        <v>11791725.603</v>
      </c>
      <c r="E18">
        <v>46234947.461999997</v>
      </c>
    </row>
    <row r="19" spans="2:5" x14ac:dyDescent="0.3">
      <c r="B19" t="s">
        <v>19</v>
      </c>
      <c r="C19">
        <v>13290756.738</v>
      </c>
      <c r="D19">
        <v>13318049.477</v>
      </c>
      <c r="E19">
        <v>51997361.997000001</v>
      </c>
    </row>
    <row r="20" spans="2:5" x14ac:dyDescent="0.3">
      <c r="B20" t="s">
        <v>20</v>
      </c>
      <c r="C20">
        <v>15476799.816</v>
      </c>
      <c r="D20">
        <v>17010039.072999999</v>
      </c>
      <c r="E20">
        <v>61277466.684</v>
      </c>
    </row>
    <row r="21" spans="2:5" x14ac:dyDescent="0.3">
      <c r="B21" t="s">
        <v>21</v>
      </c>
      <c r="C21">
        <v>16157560.202</v>
      </c>
      <c r="D21">
        <v>17677582.739</v>
      </c>
      <c r="E21">
        <v>66024194.972000003</v>
      </c>
    </row>
    <row r="22" spans="2:5" x14ac:dyDescent="0.3">
      <c r="B22" t="s">
        <v>22</v>
      </c>
      <c r="C22">
        <v>16555440.742000001</v>
      </c>
      <c r="D22">
        <v>17221822.800000001</v>
      </c>
      <c r="E22">
        <v>68767350.998999998</v>
      </c>
    </row>
    <row r="23" spans="2:5" x14ac:dyDescent="0.3">
      <c r="B23" t="s">
        <v>23</v>
      </c>
      <c r="C23">
        <v>17287085.960999999</v>
      </c>
      <c r="D23">
        <v>36057439.298</v>
      </c>
      <c r="E23">
        <v>76419108.922000006</v>
      </c>
    </row>
    <row r="24" spans="2:5" x14ac:dyDescent="0.3">
      <c r="B24" t="s">
        <v>24</v>
      </c>
      <c r="C24">
        <v>33334352.737475</v>
      </c>
      <c r="D24">
        <v>31953165.739999998</v>
      </c>
      <c r="E24">
        <v>75940436.974000007</v>
      </c>
    </row>
    <row r="25" spans="2:5" x14ac:dyDescent="0.3">
      <c r="B25" t="s">
        <v>25</v>
      </c>
      <c r="C25">
        <v>32988539.015073001</v>
      </c>
      <c r="D25">
        <v>32083292.866</v>
      </c>
      <c r="E25">
        <v>75577110.158999994</v>
      </c>
    </row>
    <row r="26" spans="2:5" x14ac:dyDescent="0.3">
      <c r="B26" t="s">
        <v>26</v>
      </c>
      <c r="C26">
        <v>34521391.008271001</v>
      </c>
      <c r="D26">
        <v>34606210.526000001</v>
      </c>
      <c r="E26">
        <v>80284953.503000006</v>
      </c>
    </row>
    <row r="27" spans="2:5" x14ac:dyDescent="0.3">
      <c r="B27" t="s">
        <v>27</v>
      </c>
      <c r="C27">
        <v>35567925.393339999</v>
      </c>
      <c r="D27">
        <v>36504009.942000002</v>
      </c>
      <c r="E27">
        <v>82957994.488000005</v>
      </c>
    </row>
    <row r="28" spans="2:5" x14ac:dyDescent="0.3">
      <c r="B28" t="s">
        <v>28</v>
      </c>
      <c r="C28">
        <v>36307822.941316999</v>
      </c>
      <c r="D28">
        <v>37746034.395999998</v>
      </c>
      <c r="E28">
        <v>84454794.128999993</v>
      </c>
    </row>
    <row r="29" spans="2:5" x14ac:dyDescent="0.3">
      <c r="B29" t="s">
        <v>29</v>
      </c>
      <c r="C29">
        <v>36495570.150580004</v>
      </c>
      <c r="D29">
        <v>35560882.795999996</v>
      </c>
      <c r="E29">
        <v>85325803.328999996</v>
      </c>
    </row>
    <row r="30" spans="2:5" x14ac:dyDescent="0.3">
      <c r="B30" t="s">
        <v>30</v>
      </c>
      <c r="C30">
        <v>42383142.628319003</v>
      </c>
      <c r="D30">
        <v>50387501.428000003</v>
      </c>
      <c r="E30">
        <v>101894536.182</v>
      </c>
    </row>
    <row r="31" spans="2:5" x14ac:dyDescent="0.3">
      <c r="B31" t="s">
        <v>31</v>
      </c>
      <c r="C31">
        <v>47435033.164402999</v>
      </c>
      <c r="D31">
        <v>48382943.259000003</v>
      </c>
      <c r="E31">
        <v>114497874.087</v>
      </c>
    </row>
    <row r="32" spans="2:5" x14ac:dyDescent="0.3">
      <c r="B32" t="s">
        <v>32</v>
      </c>
      <c r="C32">
        <v>45040298.719356</v>
      </c>
      <c r="D32">
        <v>47721588.398999996</v>
      </c>
      <c r="E32">
        <v>108463238.611</v>
      </c>
    </row>
    <row r="33" spans="2:5" x14ac:dyDescent="0.3">
      <c r="B33" t="s">
        <v>33</v>
      </c>
      <c r="C33">
        <v>47759654.711791001</v>
      </c>
      <c r="D33">
        <v>47702008.994000003</v>
      </c>
      <c r="E33">
        <v>116212356.917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workbookViewId="0">
      <pane xSplit="1" ySplit="3" topLeftCell="B4" activePane="bottomRight" state="frozen"/>
      <selection pane="topRight"/>
      <selection pane="bottomLeft"/>
      <selection pane="bottomRight" activeCell="E12" sqref="E12"/>
    </sheetView>
  </sheetViews>
  <sheetFormatPr baseColWidth="10" defaultColWidth="8.88671875" defaultRowHeight="14.4" x14ac:dyDescent="0.3"/>
  <cols>
    <col min="1" max="1" width="12" customWidth="1"/>
    <col min="2" max="32" width="14" customWidth="1"/>
  </cols>
  <sheetData>
    <row r="1" spans="1:32" ht="22.0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3.05" customHeight="1" x14ac:dyDescent="0.3">
      <c r="A2" s="1" t="s">
        <v>38</v>
      </c>
    </row>
    <row r="3" spans="1:32" ht="28.0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</row>
    <row r="4" spans="1:32" x14ac:dyDescent="0.3">
      <c r="A4" s="3" t="s">
        <v>34</v>
      </c>
      <c r="B4" s="4">
        <v>4911995899</v>
      </c>
      <c r="C4" s="4">
        <v>5256476893</v>
      </c>
      <c r="D4" s="4">
        <v>5436951005</v>
      </c>
      <c r="E4" s="4">
        <v>5882702097</v>
      </c>
      <c r="F4" s="4">
        <v>5979808260</v>
      </c>
      <c r="G4" s="4">
        <v>6195552139</v>
      </c>
      <c r="H4" s="4">
        <v>6577768304</v>
      </c>
      <c r="I4" s="4">
        <v>6898446416</v>
      </c>
      <c r="J4" s="4">
        <v>7138690732</v>
      </c>
      <c r="K4" s="4">
        <v>7646336820</v>
      </c>
      <c r="L4" s="4">
        <v>7944202851</v>
      </c>
      <c r="M4" s="4">
        <v>8844914719</v>
      </c>
      <c r="N4" s="4">
        <v>9715249135</v>
      </c>
      <c r="O4" s="4">
        <v>11405433238</v>
      </c>
      <c r="P4" s="4">
        <v>12624261129</v>
      </c>
      <c r="Q4" s="4">
        <v>11996759553</v>
      </c>
      <c r="R4" s="4">
        <v>13290756738</v>
      </c>
      <c r="S4" s="4">
        <v>15476799816</v>
      </c>
      <c r="T4" s="4">
        <v>16157560202</v>
      </c>
      <c r="U4" s="4">
        <v>16555440742</v>
      </c>
      <c r="V4" s="4">
        <v>17287085961</v>
      </c>
      <c r="W4" s="4">
        <v>33334352737.474998</v>
      </c>
      <c r="X4" s="4">
        <v>32988539015.073002</v>
      </c>
      <c r="Y4" s="4">
        <v>34521391008.271004</v>
      </c>
      <c r="Z4" s="4">
        <v>35567925393.339996</v>
      </c>
      <c r="AA4" s="4">
        <v>36307822941.317001</v>
      </c>
      <c r="AB4" s="4">
        <v>36495570150.580002</v>
      </c>
      <c r="AC4" s="4">
        <v>42383142628.319</v>
      </c>
      <c r="AD4" s="4">
        <v>47435033164.403</v>
      </c>
      <c r="AE4" s="4">
        <v>45040298719.356003</v>
      </c>
      <c r="AF4" s="4">
        <v>47759654711.791</v>
      </c>
    </row>
    <row r="5" spans="1:32" x14ac:dyDescent="0.3">
      <c r="A5" s="5" t="s">
        <v>35</v>
      </c>
      <c r="B5" s="6">
        <v>4544788032</v>
      </c>
      <c r="C5" s="6">
        <v>3256198984</v>
      </c>
      <c r="D5" s="6">
        <v>5390006292</v>
      </c>
      <c r="E5" s="6">
        <v>5229946872</v>
      </c>
      <c r="F5" s="6">
        <v>5530831455</v>
      </c>
      <c r="G5" s="6">
        <v>5613188844</v>
      </c>
      <c r="H5" s="6">
        <v>6370707457</v>
      </c>
      <c r="I5" s="6">
        <v>7393551417</v>
      </c>
      <c r="J5" s="6">
        <v>7500299169</v>
      </c>
      <c r="K5" s="6">
        <v>7967329350</v>
      </c>
      <c r="L5" s="6">
        <v>8752083417</v>
      </c>
      <c r="M5" s="6">
        <v>9206021268</v>
      </c>
      <c r="N5" s="6">
        <v>10349345037</v>
      </c>
      <c r="O5" s="6">
        <v>12739778177</v>
      </c>
      <c r="P5" s="6">
        <v>15565746344</v>
      </c>
      <c r="Q5" s="6">
        <v>11791725603</v>
      </c>
      <c r="R5" s="6">
        <v>13318049477</v>
      </c>
      <c r="S5" s="6">
        <v>17010039073</v>
      </c>
      <c r="T5" s="6">
        <v>17677582739</v>
      </c>
      <c r="U5" s="6">
        <v>17221822800</v>
      </c>
      <c r="V5" s="6">
        <v>36057439298</v>
      </c>
      <c r="W5" s="6">
        <v>31953165740</v>
      </c>
      <c r="X5" s="6">
        <v>32083292866</v>
      </c>
      <c r="Y5" s="6">
        <v>34606210526</v>
      </c>
      <c r="Z5" s="6">
        <v>36504009942</v>
      </c>
      <c r="AA5" s="6">
        <v>37746034396</v>
      </c>
      <c r="AB5" s="6">
        <v>35560882796</v>
      </c>
      <c r="AC5" s="6">
        <v>50387501428</v>
      </c>
      <c r="AD5" s="6">
        <v>48382943259</v>
      </c>
      <c r="AE5" s="6">
        <v>47721588399</v>
      </c>
      <c r="AF5" s="6">
        <v>47702008994</v>
      </c>
    </row>
    <row r="6" spans="1:32" x14ac:dyDescent="0.3">
      <c r="A6" s="3" t="s">
        <v>36</v>
      </c>
      <c r="B6" s="4">
        <v>21545698899</v>
      </c>
      <c r="C6" s="4">
        <v>23249600144</v>
      </c>
      <c r="D6" s="4">
        <v>23799357978</v>
      </c>
      <c r="E6" s="4">
        <v>27023636313</v>
      </c>
      <c r="F6" s="4">
        <v>28083293033</v>
      </c>
      <c r="G6" s="4">
        <v>29076775163</v>
      </c>
      <c r="H6" s="4">
        <v>28518260879</v>
      </c>
      <c r="I6" s="4">
        <v>28206702970</v>
      </c>
      <c r="J6" s="4">
        <v>31191980613</v>
      </c>
      <c r="K6" s="4">
        <v>33375517467</v>
      </c>
      <c r="L6" s="4">
        <v>36482722375</v>
      </c>
      <c r="M6" s="4">
        <v>39661327754</v>
      </c>
      <c r="N6" s="4">
        <v>42838052790</v>
      </c>
      <c r="O6" s="4">
        <v>47221133246</v>
      </c>
      <c r="P6" s="4">
        <v>50529328249</v>
      </c>
      <c r="Q6" s="4">
        <v>46234947462</v>
      </c>
      <c r="R6" s="4">
        <v>51997361997</v>
      </c>
      <c r="S6" s="4">
        <v>61277466684</v>
      </c>
      <c r="T6" s="4">
        <v>66024194972</v>
      </c>
      <c r="U6" s="4">
        <v>68767350999</v>
      </c>
      <c r="V6" s="4">
        <v>76419108922</v>
      </c>
      <c r="W6" s="4">
        <v>75940436974</v>
      </c>
      <c r="X6" s="4">
        <v>75577110159</v>
      </c>
      <c r="Y6" s="4">
        <v>80284953503</v>
      </c>
      <c r="Z6" s="4">
        <v>82957994488</v>
      </c>
      <c r="AA6" s="4">
        <v>84454794129</v>
      </c>
      <c r="AB6" s="4">
        <v>85325803329</v>
      </c>
      <c r="AC6" s="4">
        <v>101894536182</v>
      </c>
      <c r="AD6" s="4">
        <v>114497874087</v>
      </c>
      <c r="AE6" s="4">
        <v>108463238611</v>
      </c>
      <c r="AF6" s="4">
        <v>116212356917</v>
      </c>
    </row>
    <row r="8" spans="1:32" x14ac:dyDescent="0.3">
      <c r="A8" t="s">
        <v>39</v>
      </c>
    </row>
    <row r="9" spans="1:32" ht="28.05" customHeight="1" x14ac:dyDescent="0.3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  <c r="R9" s="2" t="s">
        <v>19</v>
      </c>
      <c r="S9" s="2" t="s">
        <v>20</v>
      </c>
      <c r="T9" s="2" t="s">
        <v>21</v>
      </c>
      <c r="U9" s="2" t="s">
        <v>22</v>
      </c>
      <c r="V9" s="2" t="s">
        <v>23</v>
      </c>
      <c r="W9" s="2" t="s">
        <v>24</v>
      </c>
      <c r="X9" s="2" t="s">
        <v>25</v>
      </c>
      <c r="Y9" s="2" t="s">
        <v>26</v>
      </c>
      <c r="Z9" s="2" t="s">
        <v>27</v>
      </c>
      <c r="AA9" s="2" t="s">
        <v>28</v>
      </c>
      <c r="AB9" s="2" t="s">
        <v>29</v>
      </c>
      <c r="AC9" s="2" t="s">
        <v>30</v>
      </c>
      <c r="AD9" s="2" t="s">
        <v>31</v>
      </c>
      <c r="AE9" s="2" t="s">
        <v>32</v>
      </c>
      <c r="AF9" s="2" t="s">
        <v>33</v>
      </c>
    </row>
    <row r="10" spans="1:32" x14ac:dyDescent="0.3">
      <c r="A10" s="3" t="s">
        <v>34</v>
      </c>
      <c r="B10">
        <f>B4/1000</f>
        <v>4911995.8990000002</v>
      </c>
      <c r="C10">
        <f t="shared" ref="C10:AF12" si="0">C4/1000</f>
        <v>5256476.8930000002</v>
      </c>
      <c r="D10">
        <f t="shared" si="0"/>
        <v>5436951.0049999999</v>
      </c>
      <c r="E10">
        <f t="shared" si="0"/>
        <v>5882702.0970000001</v>
      </c>
      <c r="F10">
        <f t="shared" si="0"/>
        <v>5979808.2599999998</v>
      </c>
      <c r="G10">
        <f t="shared" si="0"/>
        <v>6195552.1390000004</v>
      </c>
      <c r="H10">
        <f t="shared" si="0"/>
        <v>6577768.3039999995</v>
      </c>
      <c r="I10">
        <f t="shared" si="0"/>
        <v>6898446.4160000002</v>
      </c>
      <c r="J10">
        <f t="shared" si="0"/>
        <v>7138690.7319999998</v>
      </c>
      <c r="K10">
        <f t="shared" si="0"/>
        <v>7646336.8200000003</v>
      </c>
      <c r="L10">
        <f t="shared" si="0"/>
        <v>7944202.8509999998</v>
      </c>
      <c r="M10">
        <f t="shared" si="0"/>
        <v>8844914.7190000005</v>
      </c>
      <c r="N10">
        <f t="shared" si="0"/>
        <v>9715249.1349999998</v>
      </c>
      <c r="O10">
        <f t="shared" si="0"/>
        <v>11405433.238</v>
      </c>
      <c r="P10">
        <f t="shared" si="0"/>
        <v>12624261.129000001</v>
      </c>
      <c r="Q10">
        <f t="shared" si="0"/>
        <v>11996759.552999999</v>
      </c>
      <c r="R10">
        <f t="shared" si="0"/>
        <v>13290756.738</v>
      </c>
      <c r="S10">
        <f t="shared" si="0"/>
        <v>15476799.816</v>
      </c>
      <c r="T10">
        <f t="shared" si="0"/>
        <v>16157560.202</v>
      </c>
      <c r="U10">
        <f t="shared" si="0"/>
        <v>16555440.742000001</v>
      </c>
      <c r="V10">
        <f t="shared" si="0"/>
        <v>17287085.960999999</v>
      </c>
      <c r="W10">
        <f t="shared" si="0"/>
        <v>33334352.737475</v>
      </c>
      <c r="X10">
        <f t="shared" si="0"/>
        <v>32988539.015073001</v>
      </c>
      <c r="Y10">
        <f t="shared" si="0"/>
        <v>34521391.008271001</v>
      </c>
      <c r="Z10">
        <f t="shared" si="0"/>
        <v>35567925.393339999</v>
      </c>
      <c r="AA10">
        <f t="shared" si="0"/>
        <v>36307822.941316999</v>
      </c>
      <c r="AB10">
        <f t="shared" si="0"/>
        <v>36495570.150580004</v>
      </c>
      <c r="AC10">
        <f t="shared" si="0"/>
        <v>42383142.628319003</v>
      </c>
      <c r="AD10">
        <f t="shared" si="0"/>
        <v>47435033.164402999</v>
      </c>
      <c r="AE10">
        <f t="shared" si="0"/>
        <v>45040298.719356</v>
      </c>
      <c r="AF10">
        <f t="shared" si="0"/>
        <v>47759654.711791001</v>
      </c>
    </row>
    <row r="11" spans="1:32" x14ac:dyDescent="0.3">
      <c r="A11" s="5" t="s">
        <v>35</v>
      </c>
      <c r="B11">
        <f t="shared" ref="B11:Q12" si="1">B5/1000</f>
        <v>4544788.0319999997</v>
      </c>
      <c r="C11">
        <f t="shared" si="1"/>
        <v>3256198.9840000002</v>
      </c>
      <c r="D11">
        <f t="shared" si="1"/>
        <v>5390006.2920000004</v>
      </c>
      <c r="E11">
        <f t="shared" si="1"/>
        <v>5229946.8720000004</v>
      </c>
      <c r="F11">
        <f t="shared" si="1"/>
        <v>5530831.4550000001</v>
      </c>
      <c r="G11">
        <f t="shared" si="1"/>
        <v>5613188.8439999996</v>
      </c>
      <c r="H11">
        <f t="shared" si="1"/>
        <v>6370707.4570000004</v>
      </c>
      <c r="I11">
        <f t="shared" si="1"/>
        <v>7393551.4170000004</v>
      </c>
      <c r="J11">
        <f t="shared" si="1"/>
        <v>7500299.1689999998</v>
      </c>
      <c r="K11">
        <f t="shared" si="1"/>
        <v>7967329.3499999996</v>
      </c>
      <c r="L11">
        <f t="shared" si="1"/>
        <v>8752083.4169999994</v>
      </c>
      <c r="M11">
        <f t="shared" si="1"/>
        <v>9206021.2679999992</v>
      </c>
      <c r="N11">
        <f t="shared" si="1"/>
        <v>10349345.037</v>
      </c>
      <c r="O11">
        <f t="shared" si="1"/>
        <v>12739778.176999999</v>
      </c>
      <c r="P11">
        <f t="shared" si="1"/>
        <v>15565746.344000001</v>
      </c>
      <c r="Q11">
        <f t="shared" si="1"/>
        <v>11791725.603</v>
      </c>
      <c r="R11">
        <f t="shared" si="0"/>
        <v>13318049.477</v>
      </c>
      <c r="S11">
        <f t="shared" si="0"/>
        <v>17010039.072999999</v>
      </c>
      <c r="T11">
        <f t="shared" si="0"/>
        <v>17677582.739</v>
      </c>
      <c r="U11">
        <f t="shared" si="0"/>
        <v>17221822.800000001</v>
      </c>
      <c r="V11">
        <f t="shared" si="0"/>
        <v>36057439.298</v>
      </c>
      <c r="W11">
        <f t="shared" si="0"/>
        <v>31953165.739999998</v>
      </c>
      <c r="X11">
        <f t="shared" si="0"/>
        <v>32083292.866</v>
      </c>
      <c r="Y11">
        <f t="shared" si="0"/>
        <v>34606210.526000001</v>
      </c>
      <c r="Z11">
        <f t="shared" si="0"/>
        <v>36504009.942000002</v>
      </c>
      <c r="AA11">
        <f t="shared" si="0"/>
        <v>37746034.395999998</v>
      </c>
      <c r="AB11">
        <f t="shared" si="0"/>
        <v>35560882.795999996</v>
      </c>
      <c r="AC11">
        <f t="shared" si="0"/>
        <v>50387501.428000003</v>
      </c>
      <c r="AD11">
        <f t="shared" si="0"/>
        <v>48382943.259000003</v>
      </c>
      <c r="AE11">
        <f t="shared" si="0"/>
        <v>47721588.398999996</v>
      </c>
      <c r="AF11">
        <f t="shared" si="0"/>
        <v>47702008.994000003</v>
      </c>
    </row>
    <row r="12" spans="1:32" x14ac:dyDescent="0.3">
      <c r="A12" s="3" t="s">
        <v>36</v>
      </c>
      <c r="B12">
        <f t="shared" si="1"/>
        <v>21545698.899</v>
      </c>
      <c r="C12">
        <f t="shared" si="0"/>
        <v>23249600.144000001</v>
      </c>
      <c r="D12">
        <f t="shared" si="0"/>
        <v>23799357.978</v>
      </c>
      <c r="E12">
        <f t="shared" si="0"/>
        <v>27023636.313000001</v>
      </c>
      <c r="F12">
        <f t="shared" si="0"/>
        <v>28083293.033</v>
      </c>
      <c r="G12">
        <f t="shared" si="0"/>
        <v>29076775.162999999</v>
      </c>
      <c r="H12">
        <f t="shared" si="0"/>
        <v>28518260.879000001</v>
      </c>
      <c r="I12">
        <f t="shared" si="0"/>
        <v>28206702.969999999</v>
      </c>
      <c r="J12">
        <f t="shared" si="0"/>
        <v>31191980.613000002</v>
      </c>
      <c r="K12">
        <f t="shared" si="0"/>
        <v>33375517.467</v>
      </c>
      <c r="L12">
        <f t="shared" si="0"/>
        <v>36482722.375</v>
      </c>
      <c r="M12">
        <f t="shared" si="0"/>
        <v>39661327.754000001</v>
      </c>
      <c r="N12">
        <f t="shared" si="0"/>
        <v>42838052.789999999</v>
      </c>
      <c r="O12">
        <f t="shared" si="0"/>
        <v>47221133.245999999</v>
      </c>
      <c r="P12">
        <f t="shared" si="0"/>
        <v>50529328.248999998</v>
      </c>
      <c r="Q12">
        <f t="shared" si="0"/>
        <v>46234947.461999997</v>
      </c>
      <c r="R12">
        <f t="shared" si="0"/>
        <v>51997361.997000001</v>
      </c>
      <c r="S12">
        <f t="shared" si="0"/>
        <v>61277466.684</v>
      </c>
      <c r="T12">
        <f t="shared" si="0"/>
        <v>66024194.972000003</v>
      </c>
      <c r="U12">
        <f t="shared" si="0"/>
        <v>68767350.998999998</v>
      </c>
      <c r="V12">
        <f t="shared" si="0"/>
        <v>76419108.922000006</v>
      </c>
      <c r="W12">
        <f t="shared" si="0"/>
        <v>75940436.974000007</v>
      </c>
      <c r="X12">
        <f t="shared" si="0"/>
        <v>75577110.158999994</v>
      </c>
      <c r="Y12">
        <f t="shared" si="0"/>
        <v>80284953.503000006</v>
      </c>
      <c r="Z12">
        <f t="shared" si="0"/>
        <v>82957994.488000005</v>
      </c>
      <c r="AA12">
        <f t="shared" si="0"/>
        <v>84454794.128999993</v>
      </c>
      <c r="AB12">
        <f t="shared" si="0"/>
        <v>85325803.328999996</v>
      </c>
      <c r="AC12">
        <f t="shared" si="0"/>
        <v>101894536.182</v>
      </c>
      <c r="AD12">
        <f t="shared" si="0"/>
        <v>114497874.087</v>
      </c>
      <c r="AE12">
        <f t="shared" si="0"/>
        <v>108463238.611</v>
      </c>
      <c r="AF12">
        <f t="shared" si="0"/>
        <v>116212356.917</v>
      </c>
    </row>
  </sheetData>
  <mergeCells count="1">
    <mergeCell ref="A1:A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12" sqref="B12"/>
    </sheetView>
  </sheetViews>
  <sheetFormatPr baseColWidth="10" defaultColWidth="8.88671875" defaultRowHeight="14.4" x14ac:dyDescent="0.3"/>
  <cols>
    <col min="1" max="1" width="19.33203125" customWidth="1"/>
    <col min="2" max="32" width="14" customWidth="1"/>
  </cols>
  <sheetData>
    <row r="1" spans="1:32" ht="22.05" customHeight="1" x14ac:dyDescent="0.3">
      <c r="A1" s="8" t="s">
        <v>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3.05" customHeight="1" x14ac:dyDescent="0.3">
      <c r="A2" s="1" t="s">
        <v>1</v>
      </c>
    </row>
    <row r="3" spans="1:32" ht="28.0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</row>
    <row r="4" spans="1:32" x14ac:dyDescent="0.3">
      <c r="A4" s="3" t="s">
        <v>34</v>
      </c>
      <c r="B4" s="4">
        <v>9837443877</v>
      </c>
      <c r="C4" s="4">
        <v>11212146463</v>
      </c>
      <c r="D4" s="4">
        <v>12411172090</v>
      </c>
      <c r="E4" s="4">
        <v>13402923335</v>
      </c>
      <c r="F4" s="4">
        <v>12164634247</v>
      </c>
      <c r="G4" s="4">
        <v>11765295120</v>
      </c>
      <c r="H4" s="4">
        <v>12756854235</v>
      </c>
      <c r="I4" s="4">
        <v>13929074249</v>
      </c>
      <c r="J4" s="4">
        <v>13284946599</v>
      </c>
      <c r="K4" s="4">
        <v>13445875306</v>
      </c>
      <c r="L4" s="4">
        <v>15511495198</v>
      </c>
      <c r="M4" s="4">
        <v>16551449543</v>
      </c>
      <c r="N4" s="4">
        <v>18687384674</v>
      </c>
      <c r="O4" s="4">
        <v>22704500782</v>
      </c>
      <c r="P4" s="4">
        <v>28866500962</v>
      </c>
      <c r="Q4" s="4">
        <v>24080658238</v>
      </c>
      <c r="R4" s="4">
        <v>25995792093</v>
      </c>
      <c r="S4" s="4">
        <v>30199931647</v>
      </c>
      <c r="T4" s="4">
        <v>31953838079</v>
      </c>
      <c r="U4" s="4">
        <v>32846794310</v>
      </c>
      <c r="V4" s="4">
        <v>35643834095</v>
      </c>
      <c r="W4" s="4">
        <v>65699139505.589996</v>
      </c>
      <c r="X4" s="4">
        <v>63003573982.208</v>
      </c>
      <c r="Y4" s="4">
        <v>66561338910.806</v>
      </c>
      <c r="Z4" s="4">
        <v>67215025536.110001</v>
      </c>
      <c r="AA4" s="4">
        <v>64892530290.334999</v>
      </c>
      <c r="AB4" s="4">
        <v>72704090396.264999</v>
      </c>
      <c r="AC4" s="4">
        <v>84414346329.594009</v>
      </c>
      <c r="AD4" s="4">
        <v>88795325075.455002</v>
      </c>
      <c r="AE4" s="4">
        <v>89865392875.841003</v>
      </c>
      <c r="AF4" s="4">
        <v>88171018025.843994</v>
      </c>
    </row>
    <row r="5" spans="1:32" x14ac:dyDescent="0.3">
      <c r="A5" s="5" t="s">
        <v>35</v>
      </c>
      <c r="B5" s="6">
        <v>3281487733</v>
      </c>
      <c r="C5" s="6">
        <v>4707453016</v>
      </c>
      <c r="D5" s="6">
        <v>4307780647</v>
      </c>
      <c r="E5" s="6">
        <v>4734525182</v>
      </c>
      <c r="F5" s="6">
        <v>4936738140</v>
      </c>
      <c r="G5" s="6">
        <v>4901568760</v>
      </c>
      <c r="H5" s="6">
        <v>5258674981</v>
      </c>
      <c r="I5" s="6">
        <v>4962146702</v>
      </c>
      <c r="J5" s="6">
        <v>4719510137</v>
      </c>
      <c r="K5" s="6">
        <v>5531889405</v>
      </c>
      <c r="L5" s="6">
        <v>6239256534</v>
      </c>
      <c r="M5" s="6">
        <v>6721357691</v>
      </c>
      <c r="N5" s="6">
        <v>7580554793</v>
      </c>
      <c r="O5" s="6">
        <v>8308967229</v>
      </c>
      <c r="P5" s="6">
        <v>8997684669</v>
      </c>
      <c r="Q5" s="6">
        <v>8760080298</v>
      </c>
      <c r="R5" s="6">
        <v>9781274097</v>
      </c>
      <c r="S5" s="6">
        <v>11993471686</v>
      </c>
      <c r="T5" s="6">
        <v>12843047222</v>
      </c>
      <c r="U5" s="6">
        <v>13247933643</v>
      </c>
      <c r="V5" s="6">
        <v>29360334612</v>
      </c>
      <c r="W5" s="6">
        <v>31431756192</v>
      </c>
      <c r="X5" s="6">
        <v>34921687458</v>
      </c>
      <c r="Y5" s="6">
        <v>37644579450</v>
      </c>
      <c r="Z5" s="6">
        <v>39208312380</v>
      </c>
      <c r="AA5" s="6">
        <v>42104134394</v>
      </c>
      <c r="AB5" s="6">
        <v>44128836364</v>
      </c>
      <c r="AC5" s="6">
        <v>48547568012</v>
      </c>
      <c r="AD5" s="6">
        <v>30428858824</v>
      </c>
      <c r="AE5" s="6">
        <v>30371905935</v>
      </c>
      <c r="AF5" s="6">
        <v>32354322558</v>
      </c>
    </row>
    <row r="6" spans="1:32" x14ac:dyDescent="0.3">
      <c r="A6" s="3" t="s">
        <v>36</v>
      </c>
      <c r="B6" s="4">
        <v>31563711327</v>
      </c>
      <c r="C6" s="4">
        <v>39513951724</v>
      </c>
      <c r="D6" s="4">
        <v>43681326687</v>
      </c>
      <c r="E6" s="4">
        <v>38303989766</v>
      </c>
      <c r="F6" s="4">
        <v>33494099774</v>
      </c>
      <c r="G6" s="4">
        <v>33432094969</v>
      </c>
      <c r="H6" s="4">
        <v>35348919985</v>
      </c>
      <c r="I6" s="4">
        <v>35812957233</v>
      </c>
      <c r="J6" s="4">
        <v>36068529166</v>
      </c>
      <c r="K6" s="4">
        <v>40670675829</v>
      </c>
      <c r="L6" s="4">
        <v>41530776229</v>
      </c>
      <c r="M6" s="4">
        <v>42988373302</v>
      </c>
      <c r="N6" s="4">
        <v>47934085615</v>
      </c>
      <c r="O6" s="4">
        <v>63338203566</v>
      </c>
      <c r="P6" s="4">
        <v>83017537996</v>
      </c>
      <c r="Q6" s="4">
        <v>69335831068</v>
      </c>
      <c r="R6" s="4">
        <v>79652388842</v>
      </c>
      <c r="S6" s="4">
        <v>94941372372</v>
      </c>
      <c r="T6" s="4">
        <v>98513988628</v>
      </c>
      <c r="U6" s="4">
        <v>98608324552</v>
      </c>
      <c r="V6" s="4">
        <v>105475469147</v>
      </c>
      <c r="W6" s="4">
        <v>90067274548</v>
      </c>
      <c r="X6" s="4">
        <v>93841097914</v>
      </c>
      <c r="Y6" s="4">
        <v>96201315862</v>
      </c>
      <c r="Z6" s="4">
        <v>95454718045</v>
      </c>
      <c r="AA6" s="4">
        <v>93609240155</v>
      </c>
      <c r="AB6" s="4">
        <v>102369191693</v>
      </c>
      <c r="AC6" s="4">
        <v>123071303760</v>
      </c>
      <c r="AD6" s="4">
        <v>134348074499</v>
      </c>
      <c r="AE6" s="4">
        <v>117012061915</v>
      </c>
      <c r="AF6" s="4">
        <v>116920077780</v>
      </c>
    </row>
    <row r="8" spans="1:32" x14ac:dyDescent="0.3">
      <c r="A8" t="s">
        <v>39</v>
      </c>
    </row>
    <row r="9" spans="1:32" ht="28.05" customHeight="1" x14ac:dyDescent="0.3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  <c r="R9" s="2" t="s">
        <v>19</v>
      </c>
      <c r="S9" s="2" t="s">
        <v>20</v>
      </c>
      <c r="T9" s="2" t="s">
        <v>21</v>
      </c>
      <c r="U9" s="2" t="s">
        <v>22</v>
      </c>
      <c r="V9" s="2" t="s">
        <v>23</v>
      </c>
      <c r="W9" s="2" t="s">
        <v>24</v>
      </c>
      <c r="X9" s="2" t="s">
        <v>25</v>
      </c>
      <c r="Y9" s="2" t="s">
        <v>26</v>
      </c>
      <c r="Z9" s="2" t="s">
        <v>27</v>
      </c>
      <c r="AA9" s="2" t="s">
        <v>28</v>
      </c>
      <c r="AB9" s="2" t="s">
        <v>29</v>
      </c>
      <c r="AC9" s="2" t="s">
        <v>30</v>
      </c>
      <c r="AD9" s="2" t="s">
        <v>31</v>
      </c>
      <c r="AE9" s="2" t="s">
        <v>32</v>
      </c>
      <c r="AF9" s="2" t="s">
        <v>33</v>
      </c>
    </row>
    <row r="10" spans="1:32" x14ac:dyDescent="0.3">
      <c r="A10" s="3" t="s">
        <v>34</v>
      </c>
      <c r="B10">
        <f>B4/1000</f>
        <v>9837443.8770000003</v>
      </c>
      <c r="C10">
        <f t="shared" ref="C10:AF12" si="0">C4/1000</f>
        <v>11212146.463</v>
      </c>
      <c r="D10">
        <f t="shared" si="0"/>
        <v>12411172.09</v>
      </c>
      <c r="E10">
        <f t="shared" si="0"/>
        <v>13402923.335000001</v>
      </c>
      <c r="F10">
        <f t="shared" si="0"/>
        <v>12164634.247</v>
      </c>
      <c r="G10">
        <f t="shared" si="0"/>
        <v>11765295.119999999</v>
      </c>
      <c r="H10">
        <f t="shared" si="0"/>
        <v>12756854.234999999</v>
      </c>
      <c r="I10">
        <f t="shared" si="0"/>
        <v>13929074.249</v>
      </c>
      <c r="J10">
        <f t="shared" si="0"/>
        <v>13284946.598999999</v>
      </c>
      <c r="K10">
        <f t="shared" si="0"/>
        <v>13445875.306</v>
      </c>
      <c r="L10">
        <f t="shared" si="0"/>
        <v>15511495.198000001</v>
      </c>
      <c r="M10">
        <f t="shared" si="0"/>
        <v>16551449.543</v>
      </c>
      <c r="N10">
        <f t="shared" si="0"/>
        <v>18687384.673999999</v>
      </c>
      <c r="O10">
        <f t="shared" si="0"/>
        <v>22704500.782000002</v>
      </c>
      <c r="P10">
        <f t="shared" si="0"/>
        <v>28866500.962000001</v>
      </c>
      <c r="Q10">
        <f t="shared" si="0"/>
        <v>24080658.238000002</v>
      </c>
      <c r="R10">
        <f t="shared" si="0"/>
        <v>25995792.092999998</v>
      </c>
      <c r="S10">
        <f t="shared" si="0"/>
        <v>30199931.647</v>
      </c>
      <c r="T10">
        <f t="shared" si="0"/>
        <v>31953838.079</v>
      </c>
      <c r="U10">
        <f t="shared" si="0"/>
        <v>32846794.309999999</v>
      </c>
      <c r="V10">
        <f t="shared" si="0"/>
        <v>35643834.094999999</v>
      </c>
      <c r="W10">
        <f t="shared" si="0"/>
        <v>65699139.505589999</v>
      </c>
      <c r="X10">
        <f t="shared" si="0"/>
        <v>63003573.982207999</v>
      </c>
      <c r="Y10">
        <f t="shared" si="0"/>
        <v>66561338.910806</v>
      </c>
      <c r="Z10">
        <f t="shared" si="0"/>
        <v>67215025.536109999</v>
      </c>
      <c r="AA10">
        <f t="shared" si="0"/>
        <v>64892530.290335</v>
      </c>
      <c r="AB10">
        <f t="shared" si="0"/>
        <v>72704090.396265</v>
      </c>
      <c r="AC10">
        <f t="shared" si="0"/>
        <v>84414346.329594016</v>
      </c>
      <c r="AD10">
        <f t="shared" si="0"/>
        <v>88795325.075454995</v>
      </c>
      <c r="AE10">
        <f t="shared" si="0"/>
        <v>89865392.875841007</v>
      </c>
      <c r="AF10">
        <f t="shared" si="0"/>
        <v>88171018.025843993</v>
      </c>
    </row>
    <row r="11" spans="1:32" x14ac:dyDescent="0.3">
      <c r="A11" s="5" t="s">
        <v>35</v>
      </c>
      <c r="B11">
        <f t="shared" ref="B11:Q12" si="1">B5/1000</f>
        <v>3281487.733</v>
      </c>
      <c r="C11">
        <f t="shared" si="1"/>
        <v>4707453.0159999998</v>
      </c>
      <c r="D11">
        <f t="shared" si="1"/>
        <v>4307780.6469999999</v>
      </c>
      <c r="E11">
        <f t="shared" si="1"/>
        <v>4734525.182</v>
      </c>
      <c r="F11">
        <f t="shared" si="1"/>
        <v>4936738.1399999997</v>
      </c>
      <c r="G11">
        <f t="shared" si="1"/>
        <v>4901568.76</v>
      </c>
      <c r="H11">
        <f t="shared" si="1"/>
        <v>5258674.9809999997</v>
      </c>
      <c r="I11">
        <f t="shared" si="1"/>
        <v>4962146.7019999996</v>
      </c>
      <c r="J11">
        <f t="shared" si="1"/>
        <v>4719510.1370000001</v>
      </c>
      <c r="K11">
        <f t="shared" si="1"/>
        <v>5531889.4050000003</v>
      </c>
      <c r="L11">
        <f t="shared" si="1"/>
        <v>6239256.534</v>
      </c>
      <c r="M11">
        <f t="shared" si="1"/>
        <v>6721357.6909999996</v>
      </c>
      <c r="N11">
        <f t="shared" si="1"/>
        <v>7580554.7929999996</v>
      </c>
      <c r="O11">
        <f t="shared" si="1"/>
        <v>8308967.2290000003</v>
      </c>
      <c r="P11">
        <f t="shared" si="1"/>
        <v>8997684.6689999998</v>
      </c>
      <c r="Q11">
        <f t="shared" si="1"/>
        <v>8760080.2980000004</v>
      </c>
      <c r="R11">
        <f t="shared" si="0"/>
        <v>9781274.0969999991</v>
      </c>
      <c r="S11">
        <f t="shared" si="0"/>
        <v>11993471.686000001</v>
      </c>
      <c r="T11">
        <f t="shared" si="0"/>
        <v>12843047.221999999</v>
      </c>
      <c r="U11">
        <f t="shared" si="0"/>
        <v>13247933.642999999</v>
      </c>
      <c r="V11">
        <f t="shared" si="0"/>
        <v>29360334.612</v>
      </c>
      <c r="W11">
        <f t="shared" si="0"/>
        <v>31431756.192000002</v>
      </c>
      <c r="X11">
        <f t="shared" si="0"/>
        <v>34921687.457999997</v>
      </c>
      <c r="Y11">
        <f t="shared" si="0"/>
        <v>37644579.450000003</v>
      </c>
      <c r="Z11">
        <f t="shared" si="0"/>
        <v>39208312.380000003</v>
      </c>
      <c r="AA11">
        <f t="shared" si="0"/>
        <v>42104134.394000001</v>
      </c>
      <c r="AB11">
        <f t="shared" si="0"/>
        <v>44128836.364</v>
      </c>
      <c r="AC11">
        <f t="shared" si="0"/>
        <v>48547568.012000002</v>
      </c>
      <c r="AD11">
        <f t="shared" si="0"/>
        <v>30428858.824000001</v>
      </c>
      <c r="AE11">
        <f t="shared" si="0"/>
        <v>30371905.934999999</v>
      </c>
      <c r="AF11">
        <f t="shared" si="0"/>
        <v>32354322.557999998</v>
      </c>
    </row>
    <row r="12" spans="1:32" x14ac:dyDescent="0.3">
      <c r="A12" s="3" t="s">
        <v>36</v>
      </c>
      <c r="B12">
        <f t="shared" si="1"/>
        <v>31563711.327</v>
      </c>
      <c r="C12">
        <f t="shared" si="0"/>
        <v>39513951.723999999</v>
      </c>
      <c r="D12">
        <f t="shared" si="0"/>
        <v>43681326.686999999</v>
      </c>
      <c r="E12">
        <f t="shared" si="0"/>
        <v>38303989.766000003</v>
      </c>
      <c r="F12">
        <f t="shared" si="0"/>
        <v>33494099.774</v>
      </c>
      <c r="G12">
        <f t="shared" si="0"/>
        <v>33432094.969000001</v>
      </c>
      <c r="H12">
        <f t="shared" si="0"/>
        <v>35348919.984999999</v>
      </c>
      <c r="I12">
        <f t="shared" si="0"/>
        <v>35812957.233000003</v>
      </c>
      <c r="J12">
        <f t="shared" si="0"/>
        <v>36068529.166000001</v>
      </c>
      <c r="K12">
        <f t="shared" si="0"/>
        <v>40670675.829000004</v>
      </c>
      <c r="L12">
        <f t="shared" si="0"/>
        <v>41530776.229000002</v>
      </c>
      <c r="M12">
        <f t="shared" si="0"/>
        <v>42988373.302000001</v>
      </c>
      <c r="N12">
        <f t="shared" si="0"/>
        <v>47934085.615000002</v>
      </c>
      <c r="O12">
        <f t="shared" si="0"/>
        <v>63338203.566</v>
      </c>
      <c r="P12">
        <f t="shared" si="0"/>
        <v>83017537.996000007</v>
      </c>
      <c r="Q12">
        <f t="shared" si="0"/>
        <v>69335831.068000004</v>
      </c>
      <c r="R12">
        <f t="shared" si="0"/>
        <v>79652388.841999993</v>
      </c>
      <c r="S12">
        <f t="shared" si="0"/>
        <v>94941372.371999994</v>
      </c>
      <c r="T12">
        <f t="shared" si="0"/>
        <v>98513988.628000006</v>
      </c>
      <c r="U12">
        <f t="shared" si="0"/>
        <v>98608324.552000001</v>
      </c>
      <c r="V12">
        <f t="shared" si="0"/>
        <v>105475469.147</v>
      </c>
      <c r="W12">
        <f t="shared" si="0"/>
        <v>90067274.547999993</v>
      </c>
      <c r="X12">
        <f t="shared" si="0"/>
        <v>93841097.914000005</v>
      </c>
      <c r="Y12">
        <f t="shared" si="0"/>
        <v>96201315.862000003</v>
      </c>
      <c r="Z12">
        <f t="shared" si="0"/>
        <v>95454718.045000002</v>
      </c>
      <c r="AA12">
        <f t="shared" si="0"/>
        <v>93609240.155000001</v>
      </c>
      <c r="AB12">
        <f t="shared" si="0"/>
        <v>102369191.693</v>
      </c>
      <c r="AC12">
        <f t="shared" si="0"/>
        <v>123071303.76000001</v>
      </c>
      <c r="AD12">
        <f t="shared" si="0"/>
        <v>134348074.49900001</v>
      </c>
      <c r="AE12">
        <f t="shared" si="0"/>
        <v>117012061.91500001</v>
      </c>
      <c r="AF12">
        <f t="shared" si="0"/>
        <v>116920077.78</v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Deflactados</vt:lpstr>
      <vt:lpstr>IPC</vt:lpstr>
      <vt:lpstr>Expor limpio</vt:lpstr>
      <vt:lpstr>Import limpio</vt:lpstr>
      <vt:lpstr>Importaciones</vt:lpstr>
      <vt:lpstr>Exportaciones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sandoval gamino</cp:lastModifiedBy>
  <dcterms:created xsi:type="dcterms:W3CDTF">2026-06-16T02:31:58Z</dcterms:created>
  <dcterms:modified xsi:type="dcterms:W3CDTF">2026-07-16T03:38:04Z</dcterms:modified>
</cp:coreProperties>
</file>